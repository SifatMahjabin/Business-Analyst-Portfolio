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BA44C59F-AA51-4F66-B128-E265E5CF43ED}" xr6:coauthVersionLast="47" xr6:coauthVersionMax="47" xr10:uidLastSave="{00000000-0000-0000-0000-000000000000}"/>
  <bookViews>
    <workbookView xWindow="-108" yWindow="-108" windowWidth="23256" windowHeight="12456" activeTab="3" xr2:uid="{34B7D06B-C2AC-4F30-B716-1A73F4E85514}"/>
  </bookViews>
  <sheets>
    <sheet name="Sheet1" sheetId="10" r:id="rId1"/>
    <sheet name="Sales data" sheetId="1" r:id="rId2"/>
    <sheet name="Sheet2" sheetId="2" r:id="rId3"/>
    <sheet name="Sheet3" sheetId="11" r:id="rId4"/>
  </sheets>
  <definedNames>
    <definedName name="_xlchart.v5.0" hidden="1">Sheet1!$D$11</definedName>
    <definedName name="_xlchart.v5.1" hidden="1">Sheet1!$D$12:$D$16</definedName>
    <definedName name="_xlchart.v5.2" hidden="1">Sheet1!$E$11</definedName>
    <definedName name="_xlchart.v5.3" hidden="1">Sheet1!$E$12:$E$16</definedName>
    <definedName name="Slicer_Name">#N/A</definedName>
    <definedName name="Slicer_Region">#N/A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3" i="10" l="1"/>
  <c r="D14" i="10"/>
  <c r="D15" i="10"/>
  <c r="D16" i="10"/>
  <c r="D17" i="10"/>
  <c r="D12" i="10"/>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E13" i="10"/>
  <c r="E15" i="10"/>
  <c r="E16" i="10"/>
  <c r="E12" i="10"/>
  <c r="E14" i="10"/>
</calcChain>
</file>

<file path=xl/sharedStrings.xml><?xml version="1.0" encoding="utf-8"?>
<sst xmlns="http://schemas.openxmlformats.org/spreadsheetml/2006/main" count="702" uniqueCount="70">
  <si>
    <t>Name</t>
  </si>
  <si>
    <t>Region</t>
  </si>
  <si>
    <t>Date</t>
  </si>
  <si>
    <t>Total Calls</t>
  </si>
  <si>
    <t>Calls Reached</t>
  </si>
  <si>
    <t>Average Duration (sec)</t>
  </si>
  <si>
    <t>Deals Closed</t>
  </si>
  <si>
    <t>Call Conversion Rate (%)</t>
  </si>
  <si>
    <t>Deal Value ($)</t>
  </si>
  <si>
    <t>Service Level</t>
  </si>
  <si>
    <t>Call Drop Rate (%)</t>
  </si>
  <si>
    <t>Evan</t>
  </si>
  <si>
    <t>Dhaka</t>
  </si>
  <si>
    <t>Alice</t>
  </si>
  <si>
    <t>Diana</t>
  </si>
  <si>
    <t>Jake</t>
  </si>
  <si>
    <t>Liam</t>
  </si>
  <si>
    <t>Bob</t>
  </si>
  <si>
    <t>Rick</t>
  </si>
  <si>
    <t>Charlie</t>
  </si>
  <si>
    <t>Molly</t>
  </si>
  <si>
    <t>Chris</t>
  </si>
  <si>
    <t>James</t>
  </si>
  <si>
    <t>Richard</t>
  </si>
  <si>
    <t>Paul</t>
  </si>
  <si>
    <t>Ian</t>
  </si>
  <si>
    <t>Melissa</t>
  </si>
  <si>
    <t>Alex</t>
  </si>
  <si>
    <t>Karol</t>
  </si>
  <si>
    <t>Darren</t>
  </si>
  <si>
    <t>Will</t>
  </si>
  <si>
    <t>Vicky</t>
  </si>
  <si>
    <t>Grace</t>
  </si>
  <si>
    <t>Emma</t>
  </si>
  <si>
    <t>Josh</t>
  </si>
  <si>
    <t>Craig</t>
  </si>
  <si>
    <t>Rangpur</t>
  </si>
  <si>
    <t>David</t>
  </si>
  <si>
    <t>Mimi</t>
  </si>
  <si>
    <t>Sylhet</t>
  </si>
  <si>
    <t>Chittagong</t>
  </si>
  <si>
    <t>Barisal</t>
  </si>
  <si>
    <t>Sum of Deal Value ($)</t>
  </si>
  <si>
    <t>Grand Total</t>
  </si>
  <si>
    <t>Values</t>
  </si>
  <si>
    <t>Row Labels</t>
  </si>
  <si>
    <t xml:space="preserve"> Total Calls</t>
  </si>
  <si>
    <t xml:space="preserve"> Calls Reached</t>
  </si>
  <si>
    <t xml:space="preserve"> Deals Closed</t>
  </si>
  <si>
    <t xml:space="preserve"> Deal Value ($)</t>
  </si>
  <si>
    <t>req</t>
  </si>
  <si>
    <t>1. total business update</t>
  </si>
  <si>
    <t>2. Division wise sales</t>
  </si>
  <si>
    <t>3. Individual performance</t>
  </si>
  <si>
    <t>4. Month wise sales</t>
  </si>
  <si>
    <t>Jan</t>
  </si>
  <si>
    <t>Feb</t>
  </si>
  <si>
    <t>Mar</t>
  </si>
  <si>
    <t>Apr</t>
  </si>
  <si>
    <t>May</t>
  </si>
  <si>
    <t>Jun</t>
  </si>
  <si>
    <t>Jul</t>
  </si>
  <si>
    <t>Aug</t>
  </si>
  <si>
    <t>Sep</t>
  </si>
  <si>
    <t>Oct</t>
  </si>
  <si>
    <t>Nov</t>
  </si>
  <si>
    <t>Dec</t>
  </si>
  <si>
    <t>Average of Service Level</t>
  </si>
  <si>
    <t>Sales Dashboard</t>
  </si>
  <si>
    <t>Evaluation of 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</si>
</sst>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
      <sz val="22"/>
      <color theme="0"/>
      <name val="Segoe UI Semibold"/>
      <family val="2"/>
    </font>
    <font>
      <i/>
      <sz val="11"/>
      <color rgb="FFF2EFF5"/>
      <name val="Calibri"/>
      <family val="2"/>
      <scheme val="minor"/>
    </font>
  </fonts>
  <fills count="4">
    <fill>
      <patternFill patternType="none"/>
    </fill>
    <fill>
      <patternFill patternType="gray125"/>
    </fill>
    <fill>
      <patternFill patternType="solid">
        <fgColor rgb="FFF2EFF5"/>
        <bgColor indexed="64"/>
      </patternFill>
    </fill>
    <fill>
      <patternFill patternType="solid">
        <fgColor rgb="FF00206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14" fontId="0" fillId="0" borderId="0" xfId="0" applyNumberFormat="1"/>
    <xf numFmtId="9" fontId="0" fillId="0" borderId="0" xfId="1" applyFont="1"/>
    <xf numFmtId="0" fontId="0" fillId="0" borderId="0" xfId="0" pivotButton="1"/>
    <xf numFmtId="0" fontId="0" fillId="0" borderId="0" xfId="0" applyAlignment="1">
      <alignment horizontal="left"/>
    </xf>
    <xf numFmtId="0" fontId="0" fillId="2" borderId="0" xfId="0" applyFill="1"/>
    <xf numFmtId="0" fontId="2" fillId="0" borderId="0" xfId="0" applyFont="1" applyAlignment="1">
      <alignment horizontal="left"/>
    </xf>
    <xf numFmtId="0" fontId="0" fillId="3" borderId="0" xfId="0" applyFill="1"/>
    <xf numFmtId="0" fontId="5" fillId="3" borderId="0" xfId="0" applyFont="1" applyFill="1"/>
    <xf numFmtId="0" fontId="6" fillId="3" borderId="0" xfId="0" applyFont="1" applyFill="1"/>
    <xf numFmtId="0" fontId="3" fillId="3" borderId="0" xfId="0" applyFont="1" applyFill="1"/>
    <xf numFmtId="0" fontId="4" fillId="3" borderId="0" xfId="0" applyFont="1" applyFill="1"/>
  </cellXfs>
  <cellStyles count="2">
    <cellStyle name="Normal" xfId="0" builtinId="0"/>
    <cellStyle name="Percent" xfId="1" builtinId="5"/>
  </cellStyles>
  <dxfs count="17">
    <dxf>
      <fill>
        <patternFill>
          <bgColor rgb="FF002060"/>
        </patternFill>
      </fill>
    </dxf>
    <dxf>
      <fill>
        <patternFill>
          <bgColor rgb="FF002060"/>
        </patternFill>
      </fill>
    </dxf>
    <dxf>
      <fill>
        <patternFill>
          <bgColor rgb="FF002060"/>
        </patternFill>
      </fill>
    </dxf>
    <dxf>
      <font>
        <color theme="0"/>
      </font>
    </dxf>
    <dxf>
      <font>
        <color theme="0"/>
      </font>
    </dxf>
    <dxf>
      <fill>
        <patternFill patternType="solid">
          <bgColor rgb="FFCC00CC"/>
        </patternFill>
      </fill>
    </dxf>
    <dxf>
      <fill>
        <patternFill patternType="solid">
          <bgColor rgb="FFCC00CC"/>
        </patternFill>
      </fill>
    </dxf>
    <dxf>
      <font>
        <b/>
      </font>
    </dxf>
    <dxf>
      <font>
        <b/>
      </font>
    </dxf>
    <dxf>
      <font>
        <color theme="0"/>
      </font>
    </dxf>
    <dxf>
      <font>
        <color theme="0"/>
      </font>
    </dxf>
    <dxf>
      <fill>
        <patternFill patternType="solid">
          <bgColor rgb="FFCC00CC"/>
        </patternFill>
      </fill>
    </dxf>
    <dxf>
      <fill>
        <patternFill patternType="solid">
          <bgColor rgb="FFCC00CC"/>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4" formatCode="d/mm/yyyy"/>
    </dxf>
    <dxf>
      <font>
        <b/>
      </font>
    </dxf>
  </dxfs>
  <tableStyles count="0" defaultTableStyle="TableStyleMedium2" defaultPivotStyle="PivotStyleLight16"/>
  <colors>
    <mruColors>
      <color rgb="FFCC00CC"/>
      <color rgb="FFF2EF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dashboard.xlsx]Sheet1!PivotTable3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Deals by</a:t>
            </a:r>
            <a:r>
              <a:rPr lang="en-US" baseline="0"/>
              <a:t>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C00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C00CC"/>
          </a:solidFill>
          <a:ln>
            <a:noFill/>
          </a:ln>
          <a:effectLst/>
        </c:spPr>
      </c:pivotFmt>
      <c:pivotFmt>
        <c:idx val="2"/>
        <c:spPr>
          <a:solidFill>
            <a:srgbClr val="CC00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Sheet1!$B$20</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Sheet1!$B$21:$B$33</c:f>
              <c:numCache>
                <c:formatCode>General</c:formatCode>
                <c:ptCount val="12"/>
                <c:pt idx="0">
                  <c:v>57863.17</c:v>
                </c:pt>
                <c:pt idx="1">
                  <c:v>59230.42</c:v>
                </c:pt>
                <c:pt idx="2">
                  <c:v>60127</c:v>
                </c:pt>
                <c:pt idx="3">
                  <c:v>58604.41</c:v>
                </c:pt>
                <c:pt idx="4">
                  <c:v>58564.01999999999</c:v>
                </c:pt>
                <c:pt idx="5">
                  <c:v>58260.729999999996</c:v>
                </c:pt>
                <c:pt idx="6">
                  <c:v>58845.83</c:v>
                </c:pt>
                <c:pt idx="7">
                  <c:v>58668.120000000017</c:v>
                </c:pt>
                <c:pt idx="8">
                  <c:v>59025.210000000006</c:v>
                </c:pt>
                <c:pt idx="9">
                  <c:v>58653.95</c:v>
                </c:pt>
                <c:pt idx="10">
                  <c:v>59136.610000000008</c:v>
                </c:pt>
                <c:pt idx="11">
                  <c:v>59215.419999999984</c:v>
                </c:pt>
              </c:numCache>
            </c:numRef>
          </c:val>
          <c:extLst>
            <c:ext xmlns:c16="http://schemas.microsoft.com/office/drawing/2014/chart" uri="{C3380CC4-5D6E-409C-BE32-E72D297353CC}">
              <c16:uniqueId val="{00000000-D844-4AA7-9E2C-5DB02C3A02B1}"/>
            </c:ext>
          </c:extLst>
        </c:ser>
        <c:dLbls>
          <c:dLblPos val="inEnd"/>
          <c:showLegendKey val="0"/>
          <c:showVal val="1"/>
          <c:showCatName val="0"/>
          <c:showSerName val="0"/>
          <c:showPercent val="0"/>
          <c:showBubbleSize val="0"/>
        </c:dLbls>
        <c:gapWidth val="41"/>
        <c:axId val="1816804736"/>
        <c:axId val="1816806176"/>
      </c:barChart>
      <c:catAx>
        <c:axId val="1816804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806176"/>
        <c:crosses val="autoZero"/>
        <c:auto val="1"/>
        <c:lblAlgn val="ctr"/>
        <c:lblOffset val="100"/>
        <c:noMultiLvlLbl val="0"/>
      </c:catAx>
      <c:valAx>
        <c:axId val="1816806176"/>
        <c:scaling>
          <c:orientation val="minMax"/>
        </c:scaling>
        <c:delete val="1"/>
        <c:axPos val="b"/>
        <c:numFmt formatCode="General" sourceLinked="1"/>
        <c:majorTickMark val="none"/>
        <c:minorTickMark val="none"/>
        <c:tickLblPos val="nextTo"/>
        <c:crossAx val="1816804736"/>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Service level by Division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Service level by Division</a:t>
          </a:r>
        </a:p>
      </cx:txPr>
    </cx:title>
    <cx:plotArea>
      <cx:plotAreaRegion>
        <cx:plotSurface>
          <cx:spPr>
            <a:noFill/>
          </cx:spPr>
        </cx:plotSurface>
        <cx:series layoutId="regionMap" uniqueId="{4C69D91E-A5FB-4C08-9A3C-B97E25B33B0A}">
          <cx:dataLabels>
            <cx:visibility seriesName="0" categoryName="0" value="1"/>
          </cx:dataLabels>
          <cx:dataId val="0"/>
          <cx:layoutPr>
            <cx:geography cultureLanguage="en-US" cultureRegion="BD" attribution="Powered by Bing">
              <cx:geoCache provider="{E9337A44-BEBE-4D9F-B70C-5C5E7DAFC167}">
                <cx:binary>1HvJct3IkuWvpOW6oYx5KKtXCwB34ChRFKmUNjBSohCBKQKIwLjrf+sPa6cy9VpisqhOs9dlXVpo
IC6uh0/Hj7uH/v3T8m+fmoe74Zelbbrwb5+Wf/xqYvT/9ttv4ZN5aO/Cq9Z+GlxwX+KrT679zX35
Yj89/PZ5uJttV/5GEGa/fTJ3Q3xYfv2Pf4dvKx/cuft0F63rrsaHYX37EMYmhheePfvol7vPre1y
G+JgP0X8j1/Tu8GGu+bXXx66aOP6bvUP//j1hw/9+stvT7/qL2J/aeBkcfwM7xLyilEuBCVY//Hr
118a15V/PtboFaFUEEn/fCy/ib68a+H1r+f5X//zxQN9Pc7d58/DQwig0Nc/v3/zh+N//+CTG7v4
aLsSzPj4oCubu88Pwfz6iw0u++Np5h7VSPOvev/2o+n/49+f/AAs8eQn33nnqdl+9ugvznkLB/Tj
8M1C/wLn8FeKUoQQls85R+lvov5wxp/yf8ntZAOY7NvT5w7yvFP++g1PnPPXD/wLnPSj074PTtCf
a0LYt+gDhb8LTqVfYUQo4YyBjR7N9E3j/972eBKi/2+DNjM2xrsSUv6b8Z4Ll78PKhJTKdjzoIJf
KUUoZ5L+EdZPQCUzdzG6crhrXzrS8xH8/btPYvf7R/+CqP0v9VJu7uq7l6zxNx3EXiEppJKa/5BR
APeYYM41/jOjyDeZf2TUT4/xvFP+fO2JP/786X83V1yvjXmI3+zyL0gW9kpiThD6T5NFCIEVZfIP
kHuSLD8/zvM++fbeE6d8+/H/71554XzfU6MfPvZ3qRF9pSSjSPM/YerH6vNIjTgwI6XVHyimvsXE
N2r0f+jKf36k552Tfkd1flDhv4IFPQG272jQP4lkfhfvdl8Z6P/106+KAi1+8uoPRPYHVb9Z8+Qz
sFT6ne8ev+HP1/4zS3975+EuxH/8qskrriUDEisUFgwJQLX54fGJUq8QUYoJyZAkRHDx6y+dG6IB
keKVIJqA97FilAgMeRfc+PURfoUZpwqhR+KPBSL/JP1vXLNCLf2nof789y/d2L5xtovhH7+CCP/H
px5PKZmA6IHvh2qIBZwEw+H8p7u30FfAh/H/aEuyCpNoe9wqx/ZhWatDaajMxNY1h5LWbP+dbZ6R
B+f+QR7ACEWccUB/hanST+R1FNdh6rryuBZqyRgOxTs2mfZk3abqYlUGnZOmKdKXhUJZ+YtQjAQG
HFNKMwz+/F5JEtQ8To6Vx9jz5Dw0tclxJ2iawF9/oh9k5VNRDFghJ5QhaF0EpOX3orppWDcviD2u
Y1ud640luUGapQWq6/2AOUttlOHw9W9GofnmZU2fiFegpEKEAxlVGGvw6I/iec22ueFqONZxHNO5
aek+ui15Q0xI1rR3w5aqaNhlZVV/31EVDi/Lx09MDQcgFHPMJJNAwCCwfzxAPU+8GAXuj8X46OR6
ITdjSOzHerJtbla7zWkxGHbmSZ+XTT8e+rbjMSsXImw2xYCvpRiXg8Lj/Pu80qb8o/X6g8Q/E39P
4v3r+QgkjmaEQ9eJnpzPOg69aYP6Y6/MmDZtN+WBL+KommnZxbJL3vzEINAFfB8QjwIVRwpzqZVC
jD8J+GSIKk5xDMdkA7EpwyPBKWgm1A4Vjr01rq/eVkOd18gUu1aRWKT1KNfzxdV13L18GvIk/RSH
ikK/Ig6mGLOn6deO0g3JWNTHiQS2pX4otUsnScJpT7BcUjqY6nzy2v1uR/9ZAKYcwiy2XWhWVqVj
ocxbuhXoI3NksCldhnLIOmrZbRlHfzKsZvFp6SWesiVi5dJZQcI5wJfztuuTk9aouclI2ZB9Mbni
QuIWfXxZRfrowe8Q7auKmjAMXn7Mw6cZ6GPEgIW2PXI/K5xuXR9oDuOW5aYZRJ056Zdbp/sKpeuI
9SVqfL3vm7Y8H0YWDnXB44lri3A/YZ682eLSXDd8RB8XvYrjOlXNdVVj/0E5XpzIMFafKW5i5rZI
7sYt0WW6dHFGWU8mestCQEMaui1czO007fpSN9cvq/uY0H/RVsIIBQuKkVRP8CaZ5qJWiWmO27ix
VIyszsLKk+xlKU+zBsIGI0gWgqnQDIrGj1mteC3HBc51lPVQ/p4YiJwihpNp2PiDqtHy9/D60YUY
cYUfgYxiQR5z6ruiJJfQm20AcbR15UXt7CkcbMk0XaafwMEz+QCF4bHEQsgISR7h7DtJ7UK6kobQ
HOepLC8a3S03lUDN9Zb04XSktrlusbFvX7bmU5B+VA+YAHABrAGCyBNrUqB0qIlde4wslvexmpXa
ybqHTKy4wzSVRtDbVS/+Qx0bSKKBJz9z6FOYfjwCh0NI6IO1gErxo97JLGQ1odofByeT3HLkIG7G
zq4Z4W1x8bK+z0QPeFKBS7UgROMnwiZawbizLoejT2RzzewMSGtneXDANlLTxPjpZXn4MeifJAWl
0EoSgDoIW/IkKRxHle11646o77ctY5PkcWekiyFl0U1ttiX19gbLsstNUhVlXjhlz1cydF06Gauq
E8eJvugKG+5HMYz3LfETS81c0P1sRXJesOg/vHzoZz0CvRbTgMwIPa3cpBW1IEb542pLntYJMJNC
Nt2ZLln/7mVRzwW9UEIjBd020eIRU74L+k7ZPvSgEtChobjAJOCLMSzzaUJ6dcpo3Z0ZOonjy0Kf
0Y+CO4jURCMh+eOhvhO6zayvSZd0x4V2bC9pV1yscxDHjhfJ+cuinskvyph+bI805ZI9db9Z+2Zb
vTsWcTbdvhVVdd7STe0m1oerMeL1hNAYy4yPjp/Pqi1/EvDP6QrSNQNuDUxMP+GbI9rknMjYHVtW
jmkbQUO8ev16tE5fvqzrc6EuMGMK+kQp/0JtgaCLR7Bsjwxq1unS0XAaxAa1WaGN3pYkyCpXbgun
Sf9Tlz5jZywhywQMcoDqsidx1Ku62fgs/NH2aDpQVti3pl9pny2yKS6qbQXssjNZmnQdDOReUwLb
eln950IZtgNcciU5/ourt6CKaVLcH5lB4lgSIU7mWKCds+GqLRPM04Y0P+N0z7gXEJMTYBhaICmf
UDpFJUV9APAsK6Yvi2QCRidJ35rciqLav6zhoxGfYBmMMYlEQB+FhC7tx7zx0CGpelbu2ANXu7Tt
cDOFn7LUZ4TACAhiVSoABUWesOJW04FvrQFEKJeiSrFPdJUmZaj/fmEnCOoOgYgFrZ5argnblPhk
9sdF9Oy2tiGE1Hu0ZFNNO/+T2HgmNQjUUuipYH8BLckTpQY319OyxOEIDJ0cWqMtyTUCRrsJ1Z6Z
pE/eFKObbDYnAqaf/1xsvfnDPd931c/ZExZbmj8qKwEBfnRaUkH9jUs3HJtaJPkwsfukgqr3spBn
Yp8KGJZyibX8aw3XCerlgmR77BMOYbgBadjKJZyWcbb7UPezTa0uf0ZeninmkOuaCdAMStXTBmpj
ZjFrU7THJHbstqvX5I3alv6doq46VqL9WYY/DlueJgCFTpZqBtVDAx380ZYlF7htNuGOFaWtOC7r
VPRpZRPzBZJB3gAw6CQdtZ5vNq+KN7qbdUiNddOUlrzqv3iGm+u5ItAFDN0qD4mPVOXrbO45s8D9
ax5nmgEtMGlUvaY7avrp6HoS3gFx8e9fdtoz2MEQkCH+WHthfvOkNlGBQmQdckfik2RKfSNoLvsi
eR8rPL3+27IegREKAwFfQe/5o+UkUV6tpAZyK5Iyj3je9tuQhIN+nEX8fVGaQgXCSoLIpxOWFfWx
W8naHL9OPAKSS4YKleSsMNXxZVGPo68nAcGgtYMxAyC+oMBiflSrtWUyo6WA5FpK6KijoDPMC4Q/
4KFBH7tINp6zgbvtdWxWKD7jqsRnZOrmOiRzV2cNxNmbVU3beZS+vWHbgqcduMRmxiXu/uXTksdi
8CN+M8AgYNowrgPQE0+c0LM18NXAQKSdu/LMz9TfNbJJzn1YTEhna8v7EZnhXeR9Oac1LpLMDWS7
KqXpX1cbKzODUbwaXKyzVkIv4ppxyo2I4VTYSV3NqlsOyM5jPhSiPZuFHX8C2tBw/QilMC8AKkUE
4hxpwsHqT/CsCsNU16Txx+ASnpF5GD8UsDhtU+Q732Zs6IuYTkG09zPwATB5XVror7d+njKY7LU6
7RelbKY87e2u8gtbskFpozKjEnZrlE26dGbE6cw5IduDldTv3LoBcVlYsyxH7Rta7COrErWviqpc
d2KthzvDlLe7GvmtSqFxG5uUsU2yVLmzuk7kFapNd9rDmvtiZUtxUU5DbzLOS/K6KoE1ZWuQ/ZYN
G/Tsh36O7p6bpkpyVwibR6nnVK2sTMetkqeFruUNZnFK5cj6dGNO75J+ORYEh93S4yJmReKaa9uU
yWflCwqhWTXTgwzb263uviDsSB5Wue3MglO71nrMvCgJtNLjdoeWITnhFWJprJ28bEiygf6Tf8e3
4bMupL2gXqMjDBRCmzKYPt4YyhuR0saIE6LDdNGrZBsPDd7USdFVzevS9M2RJCu4Y+6K5F3vVvv7
SnrCU4esOBq+JF84CX6ndGRTimq7xnNuG/3O9rR43TWhgXhlndsRNSif+ej5PvrAt12yVSyvRm/b
tJBTvHANVFeYPhTTne5pjfbTxE22+PljcAu/h0Bwaxp5u34YFmZPQtUn4w66kPowFtQ0qRoE33Vz
qN4Ca24iDGWmD4Cd7Se8xOUEZmz0vGkbf6vLaUxXPsYL0emiTGtSe/DRbO5aVlwHOd3qtmnntGOb
ZnvClBNpleDldZhbmVZLo4d0W7dxSpkOmuaNbdzeIBSyZbV1TjbCMuWQe5P0XTi3UMHfW1GvORoK
e6pi4U4S2qF91zJ1seq2Y2nnovogWDKcbEHXWZ2IEvrE6XfpRZ2KNjGnFeWfq2Hi+yIu9NgKCoSc
q2u2uDsZY3vsoBJcx6ke3vFK0mPYoAkdiVto6oZ2umxHxOq0RNTsAhZTnw49uYeWJVwZWvfpOrH6
FEZ55KTsRXWDE5zsNuhkz1FhdqKt3m3FVOWjneMpzGuHLhPJ3ORdRbZU4G3eOa3EzoZiM5mrlx6M
JLQ1+2Gs1n2Be5HWqlJlWhoYZ6dlnMZxF9Hi+1TLBjootaJYZEqHJoMidsAxUfdLb2todZjai85s
Wb0UPPOdwZnfVJvXW1Oej1uPcinNdGEMpTHdbDPlpdD4ZNvwKtO1R+qMMpJknWVjiieuPk5zBWDd
qTHv/DiGDGIcn7RD5ZOUTzS5Vau5iFuxvR+W1R+WxeIH25vuS1Hy8iZBwt1v/VWRSAJ1HpDzgPVY
7gvPqtfLVvhz2VmDsrqNVmbQ8biMix7+LWeb87n1B2Vnfyk1Rvd+sMuxM+VyOm8JehtYU34ccUJ2
UzN3J6tftlM2CZnqgUMZnD2e3vZxIg9ibFFWwfQ1D2iJe96R9wFRmJInXQ/LiGGJm4bxA1rPaslm
k66lB3M558dM+F7eFHMyvmc1tHllJ/i04yvv2j3Q5+m4RLJ+UnLpQrYtwGbqGfXNTvpJNGlbjWXa
lyt9vXIFkM1btlx1hd7ej5bgI+8Wki9ynPwbS7sEsLtfkntcrfbQIGJ2lZ3aW2+MOltQ3WX9ALGW
s2lb8o4WQ52heaYhm7o6Hkxnq12xJPbIgMyccl2Edwk3fEh7zimHICb+De+oSbLVTHhM67Zg+xLF
Gu9w2GSX8rmf7B74kD5fWt3u0biNuS09fce9LmA4Q5P6BJxH+r0b/XQo67b9LKBZuZ4Ypfeh+7LM
NawYNtY8wGyS7qSVZ/V8HgEgc10xfhUogO8iC5mZLXFZ0yB53eNWn8U4qlSWoqvhFBOAuaF9cSem
oF9HX3Wns5v60+hZUqSSo/F3MbfLBW6jyPhkzvhQNsd2qVDWYVrv6YCbbNVyznA/9AdI23EvEzLu
to2BrpyM+dJMyR63gp30a3ysIMAhPs5CoDrrYTx3bcOo69+bpKr2tSTxiNnc7iDwfZv2cX3giR8v
kqVhJ2uz+g9cSFiamLG6Ip4Ph6Ckv24In3etTMznlXXbrZ+rZtf33SES0lyNkt2GwXQpSuY53+Zl
Qakhywro5QocsrGuQNMC2usPrGHsYlS8PG3pKLKtrGefLmQ1J3ylaE49zHCrLNloPPNssO+6tsN1
OoSkPm8nNr/uVzG40zFyTnbwAs9JuUzgBNOUVxurbEaHUezaxEFlg/tYFRyJ23dklmhflHR5N7hE
HQqjpp3isESSxF8mbMI6lb6ESXdno7repBNrDkPNIkkb4dU7I5f2ysXC95knibGHOWJgp0HSB4OG
cs8aGlDerb29EpibvGlNj1NvXJkWq/YnnNcuB+s35wwlxxXWDfcUxj0nSztVMMlgfDqIYtZDbqah
OZ/WLXw2RW9MtnlebnnDeg87kBnas7yUluwWvY1ZWzbdlyYZ8aUXht9MuuMkjXgqz6fG0ia1njQA
pm4a8zAKL3auE+PVVHpy3JRzJ6Qtt3RxlpytWsm0hNXtpV/pY2iP29nQgppJcNAeLV7gNAg8pAWj
dwH6gEwlTZetSSig2lJU57NoSsBZ3r5FTJAd48bDPtb32xkA1oOhutttwFbOQlf2R1dN3d20lBDw
ssy9S6aTGLVOmeqn89LC0oFWtHndR1nuYA68ZmpxVe4Zva+meXiPBr6k1Tbi321QyTEW8hZ7vGWq
7kkKUyQUU4MkPbGLXtLVtXXWdbo6is2ZXTnNMS86nhztvOoc446eF0ARyDy7FgBBi6wE9EsnDnU/
gc1NtgLsX8MarT1U5WAutljVJTyeun0vJ/q6rg19S+t5u0z8OgN+6QiDQKnfDr4I1wPs42JWk2VK
XYtghYpWdQKx794bOiR5nIfidqn6cJXMrhoy66Tbt48mCrJej5xUYy6tGI5ymMsdrX+H6gco3pES
v2O43oD2rwIKGkLQmOCysxdlECcYjHyKwnanDBlSGqLak1CjI+7clBVz35g0GdDwFgjOF5G07uO0
dcPZZIb3Y7EMH+Sg74NfgWpLwEAM+DvX3ObtgD8WiLs3FHBh15Xt9lbW8TaZi2JfkcRemXFrbOqB
TB/Kvl3SlnRbhkcx5+MAW8iRQGM96NheIBH0jonY74q+Hc6ULvneuEbvy2LO2lANJ0xaewFNyGGF
AlunBV3xvu238v2gkvJkbc1bRtt3zWp8PoXoT7cuWbOFFd25pu34mAMx7wt2P9r6kdstYqcJ/AZk
c9e13n6wnRCnBshjjgdRHCu1ubzfjNolVUj2yzA36SJaDWCwhB1pu0eiOVys1Tik3RBvNZqWtKZ8
PEUa+TVFuFAZxraqUyysRntZFLllibip1nbrUp/0lUkl9gzSDess1KXedWMiLqommgxvbjpMbZIc
Nks9FIBWXlRqaV8vFfeffNeJg+yW69EVfI+rDe3NaNv341xOhxlanx1x87teLwSWPJ7fNtbWF0NZ
zrtQz/VFmWidI3u0rFtPG+TRCWlmdDmMcToY58Yj7kuVxlbZvE98ON3akn6aLUX7KKqQlb0Ecjaq
5YaxVUOXlfhMemZOYck77jpDP9qGT/lCm23XxBkiHBcDjATccWirLau4haqImwVYUmK7Sz1Hv6sH
Pu7I3LPXylF5gk3zCQcbb2PRsyMg+nRaDBHGhhWud2zk5f288ioVfWdgD0rr2yDG8W5IhLvSVtjf
yYRS1vPuMLaKnsW5CDncFBlSwvV0mky400fbwSzBscXvVk8D+K7Z6rQ1U/eFaWlzuvoAgHIwI4yZ
LToiMphLLUyfsRKKLkqKZJeYsT8dVmDTZiqmvcQO5eCyJjM+GYCCR5zqWR0o2DSF4qDgisYERCnE
LLE13/FqSKtaESCfy5onazPs27muMhq0f7vUTXn0FrBwbuth52E7nmkJ2COgh8mrpnUXol4WaExV
TDJt626PY9/vE7hgsE+GkhYpA2Jv07mqp4u16e0bKSZxBjOaYb8KukGcitNBrqrLNZ3da2w5ft0B
AzwmwOpOVD2O2RqhIw59Wb5toGdKQcCcR6WGFNb2g0nVoo5NEmAajzwGUOlRqortvHH2Hq1IXDY9
m67arbqcOiD4U7J9Zn2sMtnWF8p2OiUzIV+cmUw29t16tUne7Aky4ndq1+SscW4j6bqM3KZIjDfF
RLrz3pk1N7y7jNP0EXYCPmUBve/qenqdjK7JR0OSlHgRs4DK+djgAP06ifWVnxzUbRiCpyjiO9Z4
OqdDwcZTPBELjXlfHBCxBrJ9qXeGFfp2xqTaNZX9VPN5O+8DzCszV20ykxaWH2yK64Fvpv08Abfa
R7jVcIKJr97MlXM5IYC5EgFZSYcB1o9Z3/bsI5tqlM5tk+wKTNqbJITiTAWh9nUh1qxcsYDlYTGm
ZCnX13Bl5F6Vfs3HzWKTDkbe1713GfRN+KgNY+9GDi1v1wqf49HptI5tRVMrGgnlo9o+yhG8hX3c
0pLZ8sZpfY7rcTkqObvDHJZ42aitu2m72EFBcUU+eVqfzrAL3wWxohqsJd6JqTisbg4nmhlxcHoa
7uJYxh0alkvX9EuWdBDcfNT+SpQt/4Sa/pawuTufOukzuy5DtqnFnuq2EPtKBpnXwpJ5v4gwng+F
C9drHedsbKF/zOZmUU3qF1uf0WKts7I0XzYEG5axTcodbgTKtnVqT1EBc9V06vyyj9SQPWqXLa/a
6uhwN+28gjkWSahOyzGwrKnG+ghX7LcvCzDS86SQeDdvxUViabymojZ7WDHBtRi4DpcHLN1nWpQu
o30SgB1A5sEIibephAXJmwquB8CNHkDH99Iu84EzfzrWpr+M5UzOpmb5qOvhwdhK7uWA3XHmw7pH
m0YHPc/t6TI5wdLGi+khgetVXZaUbrqp9GreN6oaPvP+SzVI6DW5Q0dSdENOOtFmkmzth9L1NidU
jKfDNLPTul+mNxtZoYTMoos7UuhwLCqsTCpiKQ6oxSxbHnt5b0q3h7ld8bacAbyKcmuONnbVNVTX
JSO+K/KqrMus8PXiUiqZ2zcuQibVybbWKWyhgDC62n8s2nk5jn0sYBJVm10crQGz4vWUSn0/MIJP
h1kXh7rp+1uYTMvXa7foNjUVOof7p+X57JoqgwsLTu8H29cIOvTBzHsDHQZOgUYnUEe5d0vK1qGe
dqJ3sGTjbGVNhssBlXCg3s95IGsP7BhWcCF385YO0IK8c/PS7R1Mqk9kXb8xXNIdXL8v92ZTTcbW
usmqeuv3yG31CdwZQlA4lL/dWrcuKZDZpcygwatpRppy3Ys41EvK8YjXNKkM3o3WvoWZFWwEahgx
+RXooJS1Bxq9iJyKDWcl6po9iJkvCxWKA67seLkUDcqI2diuaWWG4SZWJvr6Qo72buq2EaaINh47
mJjtsU52/Sb6FBcIxhO9Hs9mqotjM7M3w+wGmNIMQD8N8TdoYi7r0ULSrRhtsnNzsbyH5YjNWg6d
tEOi/zLDouvOQXm8qpJpzTSwr8xZbw5YlPQC/kcS+b0TsgZYAKZN07Yl1YMvS3yQBfuovW93s+5I
OsLN0ROM6uZEJvisdPx9F1R3Itvgc9uPNw7j+qxhdDrqNoSc92zbtVrFD5MYhTqsxRx3njHA39Ax
fphlwa+bhdd5Q8f+QH0zXixwKe3UF3bdG8LMRwpD1zqdB6PyPkz+gjRF2Ekd7BeirL1Mpl4doNOa
cgGM73SEKD0DZuCOzkt9DKxMsiEKdtq2GwIOG+kNjBT0nVSOnA1GhAs+LfKN1iUsbGYNUegU8PBx
7fxeBEhZaKfIvmyWeLUVVrxZVlqn/5uSM1uuG1ey9hPxD5IgQfLmvyC5Z23NkmXfMGzZBgmCGDk/
fa+tc/p0WXZb0RFVjnJp2ByARObKb+VaQ9GJmR0uuVh8cvMYIWlryfC1HaVVeZ/NUZrPeIYPfk8a
L/cXRr836Oo2OfIXeyvDGQeGXVDNIG84VgNzZxzWSeGnVXIyPdVNLgMv2Q9h2x2kB7NQnhjoOyZ2
1cua1OrAk9E/pIoFzwE0pm27tmOGTKIeEFrHFSUySJcvtgJhyBvdbwM/mzdN0ncK8OkU5Uom/JOf
EvsQ2Mhcs8Ei5xZ8WlkxI5KpPFs9S/OMtVmdMy4beGkW/G5Lx46VS8rmM0UXrCSrmF/7mnvYPLXY
tUsQQJpV63Szep69U1UbnkQl9SMPWItsQi6oBcdWb0xNx1NLJ58XjPdDWyZrliT52gbB96kR9oqz
qfvmdxTSfE1nfjsutZSFv+qGXnW9RBKQGsWvXNqj29+aIa3LZG7CT1Ezmp9uaG1fLMEoTyFPcTDP
PEm93JNhdSunZsDRi4r7yh9AB55tIr2wCKaY7o3xk+9LA4J2RVz8yRbF0hPyMLoPSIRzdfaCuiqG
LBj9Im6tPGkqYyhFzjOPHquj50x0/asvtYZaWDGeIoahRzohVH0ZnD+WazficgfuNVdsAO/Vwi30
LLLW/Ixg9/qCl5zkLmwyu5lCL8qHmmtdokPJ0iKjvRhyRzxgQIAL061DSQf9vg33VU3CBy2su15q
n3Q4GZtF5ixU0bl2HXpVk9875EsRRPKyHi5YcMbmJ7mmACaN6sDpRm/XRaoxLpzmPt8iwTSf3TLH
Wd60I/7UPSLeJGfcCYx7NwR4yTkeagt5JKur/TIn85OqQuHvpm7Jjtyuq8lDOrTmzGTikxysT+Me
uJ4ATFQ+Y7ukQ5u0GcfaPYxct8E26ni07bgn63JURDwQX7L2INKqbop+TC0p/dbaplg7SfKlyiIo
GyF2fTVwYkvn0BTCgVADmuwW8GxZWnWnZHLiwaS83+mhm+NNnwx4IG5xeKQBcCOG9F8H0RarlAdb
NMyQWXQOrdvWoeOVawZ1o6iSVTxA0mAvkOFRQWeejrZDMPlflEvcEfo532YdF8/+zMc2z2L0mYSn
+l0ll/7VTUN/HSzzcqQxH5pThnbvNQRZ/PrWAdRZLx3LtM+wTlHRV+dZYWEWAPQB4mWD/kwlMpOM
c3ZOwOZuKzPyfVpRtHFlsrBvgcf4VbxwMA0jmOBxYymEp4LXKJA2LUTLsdB+1qvSHxf1kHR65kXj
2qUr+2bAamRVjD6lS/GfllTN1QBp/BmKQNMUttEWwUK4+avKYvPIJ9m/8rEKE0h0xPvqhcAyY0XM
I1RND8XdomjZpC1JchDO05P1if1kMggWbSDTZ9QM9DohbF5z0WZnZSnyAyMcxSEvPZonDvEKbVPk
41V4oSaEZsOW1xy0mIvDwp895JU9Auk19kHfFTPE2bbggwDDSIKFuTLUFZoHA0kJ2w3J5L9o0TZp
IXoQgFCwsLLsyKPnFAq9zCtD8CIMj9GUsL7Ay2y5Po0N8FyyWFfdg7DAuQsxuLtpQLeWZkzrcyYy
cZv1shLboIKumnszNv2K9w0BtFvmDQiGpT4CEIufiemwCBzVn0XY0++U1Pyq1iyEDLlMCA9+D+qx
96KkywUqc4kuUcMX9Bh8bB6hLpwK12s0lLGIs8e69rDkkwwr0NMGL0EO6BxtXTSAthp5TNZchinw
qzELuj00qunJSxu+9wE43BA0DB7QHh0KMWHh4lioznVCxcMSJ+axzdLaHZvYJd9R7ExdqcYeewOG
aUQlRlYPkKqnkJn1wOl2yKMZ36qoClWxQkd8EcsaIs9SOnQHOFLqexxFhpapbSt+oMvA9zZNmL1i
2B9dMaHF8aUWWNotulfXssXuXGLVbpUWiLrtwl7QncLjTIJwkTeTSxckHTVbNz46Rnz71rgeAKD9
1D5T4UZVI8I91QRL2PDL/u41Cp3r9IJ5y8W12wvMEqPIljLcBO2EeI8PwS/NlumTIBlk4SkL7UNP
lgmtqIr3W36JzBIHwDZb5/nKjytWZFLpe9nIGZ2joJ83SOpxArUUX4bi7O9CLpcz9VOLZwDu99Yl
lYq/tMKKBiVkTSGiQle/KFR4STDl9zslaxRDtutoWiwhp+Km7udxZ3qjDr6n1SFTnn/s1xrvAoec
pgVeMETuxDqyjWf8WdZri9g++U11I2KKGNmsBHEurhSCiG888oyS0t8Jrk0ZM6++t1jfN2Zuq/ME
e8qmr+Nx77EAzbIZOXXRqRUPaQmbrj8lo3JLmUgJpVV6aeUdl84XS64UFlw4xiQqxoWPuzBEz7WU
rUGy7UMl3dVo11yhYbqmOSctIomEo4yjYyqAN/eDeZx1gL0oLc1uRj2OJZ4D3Vcm84qWdNaUk1UW
HREXHxX6CSwnKbCiMNDxY4TVvWud1zHkZSr+KnCgIEsOVrPXbDrzzrrxCq1QHFk9BWQsI9B/SB74
Pps52Q98jrecxVgqIzq0hU7R+ZgkCMfcr5fpKfJ7irzR4pCKUwK+kSziAYmWx3OkPVi8Pc/Qo6x1
GtbFlAgcmMgOwxPK+OFmMWOfT7qO5rx2Dhg/n4NbaFQ3QxAhYZF+kFOJs8HzZiDQevaOwzC5I6QJ
3E1ck8oVkMa9/SwMUsAuGRHjPekcQlUfR+xfoNq/nWz/xsX+Zcp6VXqxDQPt+OZI+89f//+j6vDP
23yA//mfl1kO//O3838Pgfjrd+1+qIsvzb3/psvV/Od34dP/fXUXO9svf/nNWPe/WOf+NVPif/ni
L766Xzye//TVBRfTAqBDIDH/gev+YK/DzIl/zHi42Nb+8YP/9tgF/89H9QsWKIoAqoC9/Y/HLoOJ
nwSg7YE7xcHbV/7bY0dgQw7gAgfMmSQJkOF/euwSCnLKB6kMlxp+9v/isXujn/7BAF1MdnDaxQDY
LlbbgFwYoX+wzxDwKy7Spd2nfbN3DeQR2c7oOqz+mUh66myLqn+GRCgfUivWnEwhHCTx8Kx88wEb
Hb2HduFHCgHH4+xLMbsAPf9fr4W4ZMHGX/Ue9qAkTyBwInxV98qjKLxZJDY6DJYCR2X/RLNx3UbV
tGy7EdRDhGbnd0e+VAoFAonqQ7BIdp3V1m77ZchKKlyzQ6MszQcIklveTu7GZeKbCbsfZJDJ1bhO
SaH6qdt1IfMvSuNRq2g8+uHMd2grq1eR9SMUDFaVbZum17ReXuqOZ3m3Nu42rbPlmvmJK/mqM6Tn
fZNnAVoWNTwEJZrhCoBfN3+lMwRGW8Nuh2r6AyPMe/bs8vQo/CmAOgG7/Wbv412S4KydzR7NMAKu
hr8GrElLbXUJfS46cdN8/8dq/3ds+BtKik8kF6MW7KM+pJHfgEHV+7AhULOfffPKXdMdY5MtH+B7
vzkm3j4lvlDG8KnhDH4HWQLeizxOQKl5qjo5Q8NdmoDYaPx4KQwzhXB4rbVBjgYsAScA3soRogy/
Wsy6l02zVWRgJZTNZMNjB05He+UwL/YDFO0Pi5eEgIdhIYgp8ZN3lzmzgAIogHsvnMi1VQPJaySA
RTRWZRXissaUNkexuFOYTeb09xdBLjvjH7s4vTyjEMbO+AJIX5ykv+6cGbgM8VRr9qIe5yJ1EI5q
S7wHVDPBplnnOwsEZZMuPcSyFdT4d+wr+zhUzXxapY5OixNR3qp6+hoFQdm3fTlXbgIpo6frsQMX
YBJ8A7F9gr5qdjuhk1dKFeqds7H9gseSIDf15y1IwE/M1YW/oP+VjAvbBkRFD5SP8SctIeL+/b5/
4y3f7hsxEHYstN/hlvr1vod1XQfVKLQ4oSfOjfxUN93npPW7PGjFNz3MkOZm4CZ+bO+AHZuN39vv
Ye1d+Yyooqdoi1gypWUSrP4t9NLogwsML+Hz3Yu5kMHwVsJqgU7Ru/Aao6g2AXd6T5AgY3sENyEa
68Uq1H2VtN7OzpO3A1lccu3G46gkOu81AMJ6mHZB5AjqGfMQhD4rBjs328p1vJhX50Oezdqbfvbx
K6J0Bk40fxCNkz8saHDiKTY3GtUXL/ivz7aLA7Qusgp0f5gdyOUS6pG9VipDce1Dn7aXKwZkcdOx
IdysFZyFPUu6Qg8rRRIeMtAxY8ByndKxJFzSElebljgGPfT/s2+eDtPSCWA9ZNLsMxHJVeNPfTEB
BCyMtOMB/Sx5vZLs0ZPWFJ3pHuqV1jX6oiBEeuKL+6axSGwBepG7uWujsmeo03QjX3y4yDaJbyC8
ri6gRTbWt9TvqlzNwVQoOixXILfZPRyntjB8mgoHG1AedJIW3axnVAAtjoHeAL8OgDpSG9ktaKCb
irX1WSUtOjyh+QlVISvh7PgqFgqxP43MVmI2VXujGUrPtk9dgYYVO8Lmh90GWQyngD6wEbRSTCDQ
xjZdbzVpmg0d0f1BPtLfs4DhvI2J938PUBHe5Ju1OI3grP/1fcadHgVYPr0fmH89jFcypl6B2J6g
g6muSLucQjV+8mjoPvjgP+3SKILXLaEwcsD29m4lVd041+gz6j06Ft8SbraQaV572MhKPAhgPtg4
G3jbPvGVGIgYisEf6007mwoAlKQ/ED2ExTS2ywuUrZrlAknJ3wPJm23z/T7FNV6MH+D5fztksjZQ
yUo6vU+kaXMNN8+VgdBWxMygPQ3K6s4BQs15GJsC6Ml2schE4sbOBdxsx5DIYYsjhZXRut5xp55R
KzXbPjTZIYRUPVn+GYDE8IGf+DKE4bfoEsdw1YcYWZDiz19fqa6nZAEEafbrCkgVRU26qQi8PhYk
4daL/PpKqtR7ZZn0XyZq143hzXpGQ68FCyfR4JvQM9/GoXFooa16AzPxXQNGYtbsUBGqHlYWHexw
71w2FbMBnxOvKD07GGyRmpFpUzXVjnZzUHCJJnjNvPuQJTfZOn2KmAmKrqvMbvD5bbpMXzFEbvMW
/AiPDfTNbNiGBKow7Is9BCaMXGAZlLDaZ9FuzJreFqAsD6IPeN7w6Gx8KMCIVQdY+OaiX/lntkIu
8pIbCsH58e/rIXrv7MDBgsQGaFrow6hH3y/ZrtVLALOj2qekKgxZzxVfHoO5ZdcxEo+yEoHKEz/a
9FPICgeWq4AWjgDQoQE/AGuoxLRF98Ivo7r10EdNl5z6FoQaAr8Mwav2Wn5GUTgCCFji4u1TvMnm
EUanQJXFb4oJCD0P1u94Cq+Whj4rx9Tz23OW2oblFNqngC70+6JlAS+NzAG7oL0DBi0H4t3sKihf
O+u02/z92YR/WHUxBjkgUUfUB33/LtPxdTY6WDfVvqHuzvjqFGiJtvlk+nKKohdsL+9GIRmMGEje
sZ7jUox+swkh0ZSz17sy4FVwJs1wI43emop9TUR93cYWCovFyrICgH1wYW+kMm2RwGOGQ0Xf8Nkf
vv/9Xv4UmuDR80P0Gi+Wufdm49qqMZ10itDkBd/IrPp7v16DY+SvDqSq92ghHL66eoLYw1db1MZ+
wT5CBS8C7AZYh2lOORPlhHh7aBZIHlnfQMT5+2X+Njjg8phRjl78MjA3wa3x60aPFp8MpM40oHmw
qXNtL6hzSHbMqzqQZdVpkCnNm4zRe9qQB4UTLF8BoVKXNsU8zBO2kJc99bp56ieWlLFt5e1a9d42
Hnm4C/oMsE07+JtLEZsb0iG9Y+D/ib/cG4Wf9syK/qp3r3wyFnSM2OHvdxj8PhoBqWuC44nCevd7
tqHhi66R2Yq9z9yhx9oHNHlKWfLomeTH3HY7N8tPXETXXjx8kD2/DZL5Z/CPIyiecXrx2ic+BKl3
YXRE997Vl0EFne8famQf3DdYAoiPMRwCoW8/t2BWW18eOaJ53qGjbyX56Ai6vMP3VwFPMMqpDO4h
uFd/fceaLFXjJdhWy4XXDeWMXp0f5s26zGWCRsARu/FsaI1ZDW0jtoxoZH2A6nicliEMDCWfCTv1
fg+edxb00EidbeEn9EsF0pRX4fXqX/j10HzVII1L0QbHv7/EP/jhLtVPiMvHUo1/G/GCsgDDQ2ar
9h5n/qavSPZpQqDPvVgsxwmXd05cpHLRaFl6jvlPvVXr125hALTAd8JvGX1yrOYbu85pHrd4Bulo
4o3nu2+Q1AGpoKVcQAofrwGauD2P8Do+uIf30Q2LIcNYqwQrPbrsuHevYaBB5ayK5R7zK0iRAYr7
5tH1DuTpZuoanI2rOpp5otupp9WWBfM+ABa6RTNEPjEdI+scVOG12VjAYTDntFoz0NcC/E6AO0TX
5lVXiO8VJNDS0AAUKtksazuXvvyoLHwv7kAMgNGbwPSGxBFu+veGyM73/DYQWu6lExs0IvqrcKji
G+cNiKipbGBXim5miD8wyhiIHiHwfNiLciOasKgy88EmfxtZ8W6Jw50J7eoibKWwZ/+6xDFFCkB4
YOQ+NXyXTIYBWkjqAybE+vkciO8RlXsIss02HZJwE8tVbC1pQTxH60OtySZT/ZPqdJ+7Whwm+OPX
dQvI5baG+yxHfQlkq1u8bd0tTW5TjqOx3f19ebxlye9vIcNoClSbCTpE7x1+NnQrkJpZ7AE6hTAb
9QBzwtrPs7EC82dTmDe6Gn101h+Xyvwcwft6eAU5pOConDN6h4qDvDSBPTQ8pc/DDDAIzL08i6ab
jmDsLyQ0aU5KcndD2+FEvQFUpzdu51jsSOrdGsQAnIc1vPOqaIDiwmPOPwiJUXp5Fb/eJ9RPFK5Y
P5gUkNJ3DmUF8gsNm7rdA9eui8TQZ0zHMjlaGOEunHuMmlm7iRXS8PDJeQyjilh7xekSfQN7vOwF
oNhr0pgeWrfQmJGiawAzCTqehANhVinsXv26ZV5jX2QLh81oORh4wV75SrPPgd+1aEOy6JZymRQw
Ol182YxvwAa5Xbd24d508bJDmyuAA6rdrB67plOK5LwFlxxQcdfZWV17tnZXa+hO/ezkVVuN/h7u
DgsbUhAew2H0bpnUX9EaxzrCmYh6SMdtV6Q2/ZwMdhPD2AbX0wwUp1+CDbyQu4FPX0JWfQtFiBDq
oCIAAVzLeJjggUQDaysJYFgoFc0GhoiqVC0xQDj4vtEx3fRhWj2rNE7PNANhQLU71HMotiLEsOO6
X70CYx+WAr4qs2v6uM9T3pAnG8gXwn1Zrs6a6y7x0U+Psg2d6sfWpNN+6gEzm+UapjexnQUbUfOK
qQwtsNIMTUSVd6z7Ikl7kkOUXSH4NxOS9ZmEecaDjabIvGBsQRZe8xnZbAdWKPYI+RI18+eI89cJ
3k5wAMs2TDAGBlOpDLnyjHrVlnzyZDCUgGZIYRYaPbpxiM+XwQR54Im0UAuRXyRS/0IyEM0gD4bc
r8ILNj+gKxugmu8BmmyTBBBJDABv06as29g+2sG2NBfrIOYScMGLhXfvzs3+g1rUre3bAyrsbbuQ
tNBujXMq2q+TD1woGdd1dzF8b2Cj5ofaNCIPmyQtR7QpIVIN42EaFC8mhx5LaPjPro/ofTJwv/RE
7bbRaFW5+Mm4VWE8nu0gpl2beclxtOm1kNljlJKXoPaDYkWNXYQdKBOkh82V39dZvhAWvOFHeTLj
+irroQVHkh6t0ugOzPolSUd9WVX2HiL4NoSFqvAqKJejWLckHLKdYJcoFicuV2b4uXiwxVW9GPcT
vFMXI70E4t6/RCplB6EWqDAS22BSqbjCS4VDATjXmcbIoeYh8gvNyLND6xl4BwXaPl0eFcZhNYWA
UvlFjAvZNiNfNnbpDEJ/LIGM+eHZsA6Q7UqwPSYSwbKeyAE2DJUgaPfRdS8t0IYpzL40WBS4tza6
HroJ6SZGFmyjZTZFjfu/c6rN0ORa5R6NQvCoVuL76kzuQx6LL5huFW0ti4aDQ9VzZ5weNhPmN90l
DXqrlVe3O08spc30l6QnIVi5n12DlWkH2Ihb8J5+Zj4PgRk2uGS+4yCVP4uEHVd0CzBQ5w6SMaJS
O96t/XqOovFp5h3FHD+BLWuqU8WEB2+HBe7csuVhjcyCvgNUJxZW0QGWEX2EdEdLP8WLhPHXYB5P
80102ViGxuo861K0FTKYo9PmRMexLRlTDXxjJMOv1WuO0DaADTNx7jBZ4qd2Q/WlzVr3ojudnQFj
IXcBiDvlzswVRC3uw/QZia5MMdxnr0a9lnZJz00fwAAWnypvBnBDxaaKsweKN09nJl5ltUTHGhJm
IdggDiPjamvSwV4vQTfDYTU210k/3oLvAgrmy/AqMkGyb5fB3Q7EI69wTh8ww0niaREw2RMKGIoC
qJgMLCsrxzoKFc3As5ma/+QLRaTTovqW+I58Bfdln5zuknIUXriPVLzeuG5AgWKyNTkxMBouz+b6
ecBxXWA3k+9tQzO4CzGPpICP1L7SqGsfA8PnE11FVMYtFzCj1Qg/Fo4W1/vJNmzYNcC/LyKM5D4y
ZLgH8mh32CLiUTYt3cNMV7jRpS/eCvsEFqTaztyth3qY0cMSctHwjUXJ/ThS78zSkZQmEPKMflx9
7bQIgPuoGYYgeEEatt5Pa+rgoq3ocwv1o/SnxTy1sagPgw2912pJxh96WYaDIK29dpHxWe4LYefc
i4SXV1MdbGP4akEID7cNJUDe+zSB7Rkwc56Andij80OLFpQOfCGwxXW5whylqy5Yli8TjAx5kxKz
JR1BNwWC2k4pcENztBy7mKrCZUZ+h1tuKVYcOxu02jmks3E6h7yNNlCG3bmRripAIlY5vOPkW4tM
/dLlflGzYxfbCb+W4H83Klr6U+jmI3wByaaOcYRnehZPsNXRPGiwzcc4qh+WwIFTW5MbOUb7i5P8
IMTCC2Fh/mtUWG3RIXMbJGVwwC/xsQph8VKUPYSYYnm3VJB4mwoeec/4WNge8c6I/rteOHPKOAMT
CTiDwG2VrOPBc3b9hDWVFfD54LVUIoHNqGLPoYmXp6ofugOW3EWDGq8uyXI2g3BrYpx0DGjohghT
PSUsQUv9kqkgYGqbJyKEA3Gpp/2isaJQQrU3o0duOQMOOtOoL4KQgA6XLdmzTMvtMs7RzgyTPnUS
JE0AnAnIU5JebMYit13YH6ow6rZExARmFm2a8zpV+oNiMPpT+kUw4t1H2yDC+Ld3JWlfNyboMF1n
36D2vRqHLLdeUOUxELe8G7por8IONuxMwU0xpWTZmExjrCDlMNXKdb1eKyyvqvWjT+DOUHuw+h58
f3xAltm/VMkwbTlwfrmpp2b5pKo+Kqt1sa+9XuOfFR/A73utr3IKAvU+dHKYsVYH9eKylZYDpyuI
BWJuF17RvYZJDvbELMGCEOq66+tNnTFvj4ETc4no/wODLYGgtONHgvZlPMX7FBXNcQrZBnMfMHjj
12oCLlu7mhU29TCMl5zgR8tJtWqj50Xkf0/7g/fNEAzFgRAIiRU9yAgjJ969j3UYzZh0c7dPPFhB
JYZGHSJjvvZTWxcsrpetEGy6zwTdrgw4WDaC+WJG+7mdcbJ63bRnbX+ApAA4i6wPfuIt8E+vQPmB
L31Qo6C2+8OTSaFaXua4QH9+r9BR27mUjCBTkO/NZYAJk4cEBppNNlLA8g15iQl3R8xwg5WYIjVN
6LSBURage5d6m0hdjjbfbILBSQDXHZZYC/mpILF1Q17LsbkNWDBs47VtbnowZId2sd5ZpfqHwXTd
vNXVhC823g3DuXvlJejAj4O//Kysz09jjBl7IFt3DuGwzeGoiT/hSECRQOYF0q9OlwHTOFj1NVxn
ehyirsHCumDmkA1P/vBZNyqF+wwdXPgEvvsrbEwBryP01RGdEJP4lQ34ab0MAgp89wIx/AQ/RFoq
30/PY+TMI3z+bsFmapCU8FBsBjgwd6j5+zIjYrjWYm3GPF05RpUFFbjKeJW3bGmOFXp5CB+JPYIk
DG6TSPDdNOmjgnq+gXlxApwAuXNJ2m9NJ8xrx9RN3dRBWWXBq5LzicEGvAO+cw3z7CEIwLyReHJ7
sFK7lq8MQWsZc+OUu9KLf+NjBscZ4fa7biZyF6U9KxX4RyAP9byTqw6BIiTVK6FBs8NMp+XcaD2e
OaxqyCAtxjF4IOQFhGn4b6v1wYvdeFr7S/vbUySvKEE/lMy8xHHGYAWK4bXw5q8dY4jvLjuMGGQD
yh8W4gH19GwJfLsh+cGI18Dw8IQJT/FWpD7E7gR2dTUwAmvoFN8NGKEAQxwL9q1LQPEPM5wYStqi
IlgIGrjLDnMuPHhGGBBYsjQby4MfvBHdj1VTfYpgfrjCub0WKGjWsqNTXNRY6mWGOJUnKr2KRxhE
bCtIPscTimCC1sDfN/yb5vc+uGRoq+BfDKD/bfh07a+yrhlGtbIgau/TKY5eqlX5SIujeJA5fMXt
SWf1xsi521HGvnEC2mBEBg0rXr1vpVO39Rpew3wSlAxdGiC8cDRq2x/J2JptXPXrDuZDeSRt+wXN
z0u71Od4zBZma5YZuDvETlszX2cYgJCreE4BEzCbL5TmIQbLFZnFjGKycIXf3erkLvGXAFmKSK8R
F0lR8XG9hvuO7yx49nOgJqwlTXZraDA+G+L83lRDuwEW/cHcvz9ouZgND5kfnbQ0gNrzbkYqOhaY
JCJ7sdcByhetJn0PLUVjHF1WzmZySMhmros27V90Zc8X5eDvby94P9n4Eq6zDKPLQWKQC53y69Eg
e+bGxIOOCidgCQvzJzWMNm/UI22WTb3WLx55pH1Qxg2cU+EHn/6HsyLwSfx2YOAa3nqN/0Cq+m5w
YShDsYcc2GJskp5Lg8stINeNe+dF29VRVdJOuk03tusHGNBvvAzuHR+fYkB/RgnGjL47qry0RUWd
4eNnTBDY1J3/7Lq5KQIdPoRcP8r1tesRIYAtbaOmxCCZAiJCAaNXmr/hUEkIQ7ykPwYS7XQfkY+O
0j8cTgFsBBg/B6YAYNwl9fnH4wEF4vsaiffezicz9JBDKAy5vC2jYQRXj3EUGEDwmhgcjgG8E4+U
r7BDRMm3YYDFLE2+gdve/n29vEen3h5ZfBHfLyQNutS/XhIos2nuUonlQsQLq6rnERN9oI04ZO/E
f5pRhn8QX35rPL3/yHd7RMVwDAeo9ffp4j1GmKa0FXr+sc7sO9h5H2CAvG1m8diNcQUlIopKmwZ3
c+s/wMxwzUPe3+rp4sxIen6Ia2o2f38iv3WcLtcXQMbHLkLlF7ynrqwxJhmTFAParB7zprLRw9IP
9zXWlepNclgYxmu0s7id0GcGp8rv1lR2nyMWYJiOot5dO2FWvgsBXQO/hieUrhVoLJ/tfAzCKeAX
SIsVE0BzQOTxwVru7geZpSgxVpB6PcgplU3gYat2Lght+I5y+hGY8AcxFzeJAH+J8iGyyHedzBFW
RCEDTDu2XX1FKGYZpJJCdBMa+kN8y9HFRBEc1SWvUlMqhVRuho4EVxwGPKUiC3eNF//IMCbivoXT
8ChJdC8dkVD9I178F3vntRw5km3ZL0IZtHhF6AgygiJJFvkCI1NAOrT0r58FlmJGscmunjvX7ozN
S3eZVWUiAvBw+Dln77XNDMiFlaal5auOKRcqZTdzgjZcIQ9M1lHVbQ0E3blvlHW3S3VrCeZb3jed
OEZt8dnP7u/jpVlZyRCAUZeOtvTsZ0e9oKL+TJh0Vq1YsjHTrSo688GqlPY0Szx7aHMvhoPmYrRy
Z6859KDqzrM2GuIpq3dKprNq8uXjdfbeL48pu+sa1Dngrs9+eZFoQi3WnHLbm9697Nxf28ke74IK
Kght9XJhplglP77k65Th7NUO604lN8ZQySQ434AiaqMES3AJZixhmFbpuV9ZpdxQvSjraQrGi1fR
QdTmjFrTJl0NWKG2RmCiJXI/fzDv7YeMPBmpO9wJ+7yM6dUxTmoDVC1S4ZVtunLRh+M3XECG35ed
eoNTZk1PIr3XMnANfcRwfEiqxxqGr3QhdxaxGvhxVkWfrJj3Ho1j6C5PBamto88L6s0+HTSGJsQA
vxZ903YWNK4gUwdrr0BL2g4Tolv6Tp89m/l5nz8bD14vw0PP+zs0lxpeS6ecbn8J/BpZnuHtcbZd
a7KtNyxUTtmZckmr/lp3qtBevH6Oj5fH/Hr82ydgAmhSdAMYO18d4yijWsXztKWrGeG1wSSNh+D4
OlMyAoO+bBfnoJT0f/4O0jlpouK0NQS850qEEQlSSplebgsltRZm0A+ngqldW3tyEQi7O8W99skl
3zuogas058m3NUfFnT3iMBAiJXeDpden7LoDtX4CJKLEbL1AurNmetVi2RjMRVVTTyhq8snzfmeN
IWbgJ8ji13TmlD+vsXEsM1cLy3KrTta6q6bHmGW3sLsYM3B6jSIk3/zjpwvlF6Es+h6IkeejfoX3
QGGYUH7TjD5UgEtoC9IGdW41qDvqra/wFLuLz9WU7/zIZyjorOd3ETiciyn12hRAAZl8UvQDshFe
tkOWbPILH+tPjp/zS+tsAZMKOJ9/kYZ53NWf76kWCrgudsYkVc3konKty1zingkti5pgYKr18R01
33mGBt3hWUBh0j87X0TGQIHbV3lB/8zofbA22k4bc/uL0Ulxg4c+OQa9gx0nTk6u0n5VYJH4pl0p
Pkq7J5hqfjIdhWZLvNwezHU13tStO1zj4+9WWVGqF15HxdNLt/9Smth80sL1FlY7ynUsoYNY8C7W
tj3YPgrBHdtrteqN/OsYRfltnsjDYI3PYy1MneKUgr7GEutrjMDWamkNHHAr7PWt0Jdqgbuh6Mdt
EQ/F18Yqxs2MUbxlthx8MgefXSTnjwimAGZlHBcYOc4rhGEA3DUAatmilww58ianxg6XCT9wc74h
c6sfuuRxkMVjWbo7vf3mBrNuQhWxn0XhGiDg78fyf2T0+fdcPP87dqD/wU4f9r5/7fT5I/zt+2u0
11ufD3/szywthuU62woTQNjes2Vn+P6asqX+4rGlc9R05nABdz6Q/OHzsX5h63sVn2HYYGbxl81n
DiKkilZVFgm2AnaMPwxNV7/92j+K0kJwfrbkOFqx3vAasQtReZ23BJuKX2MyJXI7yqkCHyqSu1ee
Y2wl8U7raUsB8E3X0TDTENwpeBABg6K/4I78wOj8liWe8VfCY8X3WSXt4PZ068NomYoEYm4QId0e
jWLdK3HoK2lL91E1rj01aVPfGRzETZoOA04JtoEtv0pEBJyxSrc7wRwFQULWxXU6edKXNZiOVzJk
09h7TIjGohjNlCab4y1fMZHWKL2jMg3ewh67nKESrMhADhbRWXBUKh/hU4juQKkumqLsV0GnBI+q
ZEQaIitufWJ4hlWapJigZ4qkqiKDGyPv7pUkOfKHt7kn+AvCZrwN7eaew9vk14npbjLspTdOVoOH
UpMggnVUXv7OmEy+FBxf/L84k7Zi1qc81so186VhF8BEWWm4uk86uSlI4YFIhTN5UqY6Q02haEwe
qwLeQJ5HF68IypHAhh3u2lJjyAVm0aJre/uWRcks9aJT1R8FG93vKMpWgyKL1kRbMFWfnUjhCFWQ
fCOGNZW9e8VTxiL+1UNctQ69IVlLp35+ZVWafGHc2Rr22Bztr+Z2sR+GcHE0F2xfASlwVdlWQYfp
d4Klo2Z7tQjxgZcy24kYYh2KFTCxsHwOyGGPcTxbPQ2IEMSebJip4DAD1rAmNkd/FpxdV0Ok1Mcy
VYxnF6PwlVe3k5+3Wsvh2x5OuKW0xTTZ/JXIil9Rl7xKrmp3CNZpXCVPfyEvixyTblTHuxl7CYIt
WmnhlK9fsZeeMV6bzvRUIzlYJXlVcAmXLkz/B/5SICi4sE1aIX/hL2uiOuCS97UD8gIGZtCxvm1d
S086mp65kbutqBV2YVsEPq/+cqnDC3kKx6yjlGzUuF61Ru9BEJ2Ga6iV+DrmVxBWgYuwDb9OjfLY
Npb1PFMzA1BabR2UN0DHjMX0JznTQBiziaK4nrUp9YZRDD52L+mZhXUBRdIfIE2G/DXQzrl88/g9
/obUDPJgn6TBuJLM4v2ya7Sl0dQYkqVdXf3G1FTqulxoVqLd0HhPVnY5dss3hE1mi7gZYrPdzd14
/m5mpQEN428xfqYdmPPpXtZGs4Z5mPQomfp4eY7btC0l3tgQZra0ONwlCyO7SEam4XrtgC4pbTzt
oV53eL6Bc6JKClYy1CSRbJZzESVY2nw6Sc2inIJ2LSAtXQZVr6VLNx3zb4pZhMIHq9juFThgvL3b
6IcldHooZm6sRgNPT1VNDkASlKtMa/UZIxu6a4AFzaGzshJ2MNg5X6pFvSsjST5B5axRjKBL07t6
b3NC8A1Nl/sYocYeM6Kxp8khlvVgixsN3kPv1bd1mtqbZBqOammm16MhaFh0Hi3vtg/RsNliaSOa
8D0vBxkUV1taGo+OZs4D41Z/8coZq8OM5TrxnBWLmqZAOFqFD7rqntQvBhy5e2OH/bSdGEsuUrCc
kZFcQt48VXk5c+J3GuECS6QiOE48NLwjWKb7iiHBEmhKssjLolq3iursjboyNwZnRD+u3XDv2Vm7
Q8ny1Sq7SayFUmrLsknEQaUav8IWXl3aWd8dXaTPW9ujEPUt4huWmKtH6GuGssr1vCQ/paBeqZTs
YDtE2eC1jotdHWnjLYXcsJkaVVn1XV0fexqwQyf95g/OMKSE5MEVtdxYWRieMPDoN79Rh19f2P8H
Djj/8hj0P/H0Ms/48Bt+dHh5G+/85gDz55/88/xC5BYCQ93Bfauyot+cX6zZv+xY9BnJKrHfnF/M
XwzMyA7dXFo4+PNpY6LifM0CVX/BEoqjZjYWv/6N/+QA87eOPp0acjmdOTuJCtk770fCb+TgjgRx
qxWRt2eKAKzFq3QQO0O9T23jqo6H/jHSXIHwC5dIoJR5ArFn+Kxp+Lf20dwzwv7Adm7ifXDOs1t6
IVveVV69FXH/fYxG9Uoz8/KU5zL+oqeuidgu3+hAp7dZzY+5w4noA8q+SPvB+qR8fv3Wb2s9ngUO
XCLDudMEIZ+PpY0/HbiJDXQINa99qCKIjgBzDipYoa/xQAMUzfdUoK4O4uJQOXbI7PBZmr2+Sq3C
PCiSXsYECM2P+2m6fbPSfj+IvrUIa5x6fyp1+IRMgOaeo40Nnn/6uRodAelrvWybbSNbOM7QTpcQ
vYgZ1WPD2KPlws47QukuU2nQUoVwntRav3EgJN4XXmI/4tk1v6cKvejPbt65x2ducTscrW18Pp7B
1OHnj1Yqsio9Bo4EknrZIrdE7nt2XNxkY9neWVZW3PL+D55C3Qi+lU5cPrsxu3RCIXpHrqBcq8hd
Pymm32s+4UdxsA7xgyOT8+eP1I/SlY5Cz03tFPdCIzTipDK9X6tRDvJTwPSeyWFojKHyfHY73pmZ
zQFIdBkxczvq+VrKs1lZ3dIaoSSBWtFm35TIMZeOWjG955Sz1EIw50ApwfegYNt2zEhWZVVH1x8v
mXfGZ7qpujaOcoMd6fyxDH0deQlv3u0Yy+upcKYaKpFlHXrdE6u+nVVbAyUY+N8p3wVTsP348u88
gjkRkOtyF/ABsNm9bXsiL030nuzQbd1K7WjlAfI2G8uElyjIKUuS2UDRr5MYWNLHF/7bxsJ6BPSA
+YM9ZR47nz38VIGzplVVsfVCrXw2RnPtlTEPHK7AqcgnkNiyzFA9DUIsuoSeDoLj/qoregv+PerL
jz+O8c56YILo0kMyae0Y5zfCAvSpoIUBk9eK6KikhXHABghnhFZWfkFCEFkWvZhWrWfsNfY2CLJK
ACuubQqM+En+dWhdb4PENUA9baor3ZTmToeV91AkjkQxVIcBJxlFXOcAp7ArwtPLoi5oVy4b1SoY
5JitLOx2FaJcokR9RK9Qdiqrjzel0hcwspr27uMvfV4l8wiIQCINkjfWXHifPQK16SzYLgCHoxBV
qG/BE9g0placjNgbbz6+1jtdIDRLNP6JHOOFy+vk55VmRE4S9b1Sb6Oq8lzfRhZPbVZHFGzuaJFF
I4oxPMHZTStfFdK5jgd1vMrE1GAX9hrjCHlNqxc4mHUdYaCZXVLV0yH6+GP+vb1nMhS1GQLSpZ3/
6edPWYm+KInu6rdEsGAxY5eHs9Ba1YVVhs4Nw2bjsjLjz1pkr9OFt282+tFzNhE9RYgGBObOq/PN
9MFQi5HJINQHmauAubXW82GdKi+GPqKD1SZg+qYFsyMcPe0IZs/c5RjnN03mYLBp3R9D1F+BDy0v
U8wgm9G0Bc0M1CjCFQFg+6gQt/Aeg8ekg0EZpC3EZw+dSZhpzid7Om8UPuvP38UCsQJPZj4tkLx2
9l0AvumBg3qEjixC3tbI1N4XHJbrCxnK4YsKdK0DSkecA0m2OoCRIfE2YkK7SzuHhe8VhrbQjSn0
fDT/2lHtMwj4XjdeJUmhLETnZfe2pcN07nV3objDvkCphWB71uZ4GslIswG+9HHDb+ssOGSzZ8BD
lyL1YAUSE7sCGVBJY16Z9bEL4wOmzsdYdrzwQLf7DpbiBzMZwG3Qsz6qifFFHbQDYQOMBF0Yrm6e
0LswHsqWRYrVoL91vGTY0t/dKAoQcjNumgW4a4G+yfrWMHPwRWzjAyiuXKsiOmNwbyJNMZa8/vi2
quxXEyJm34P6zFYC4KhwAyp3R4OV2OsbGH4bAdP60iwUkK6ocNqGt+VAAgTTrGwZ5xpZPxgK6krd
YxG4L6nXSIVpNlqh0eQl5LPh17/QRzEcJ6u8AsZHyedO9n1Z9M/Uz+5mbKZDQjd2kRjiWym1ERdB
tTBGr9xnoKTXEmWSbcuDJQpqmhDq4DDX+WTM9alyr/ZptJdapANb6/Y69mt3Mh4jKtsMaDVxB5eq
tC9yd7jpbG/lzIhjMVyrCWpOaPWrEjz0td5E4y7AGOATx3WXyOpW6cNrUP4F31tdddqDGzxbWUbw
EzUt6g416MqF1+Tbair7EzyQbwqyuYsgifJLlywXAjbsXZ9E68ko9B9pOx2gHV5paryLcrnDgY29
zlrkprsbU7N45uZW8GXRcBXo2YVl7pTAmgSyEoUsEeklVg14lm7VJjUmnpObWEvhdPz1ZaHdijKa
biJhAnOmrfXFwNbNVNyWNbxHRuyU0t6aTJp2BcG5JVxDOtquSKd48r24XOcDvls/NU1SeJFa8dal
IThcVDHmxfg1YgvJItEscZPx4TynM0+qHXkvuiubdcj8e1Wj4uy2FRCtFXIEYrvG1wiv+DXOS9Mm
8x6XFSFfKGiIbwYHQlYX6evYZafegtlra4ry3dR7cdEZNf4u3k5zeNicI0YFjVcGppqerzRb0CUb
CB2bVOBbFTZGujxmnhvHMcTtzpcnAYsZRwWtbllQJOSf6H3+vrk4IH9sYzb42Ujqzw7YU1AXbTwy
NwyaTF5iBleXvazMbx+/BVAv/bSJudwug1heXgH0rx1kBPOr882GXKlsuS6eja2cv6g+f2UCR8wd
KeRGvjLfj1kzM1pdNj2QH/951Br8dJ6kJPvlizY/Yzpmg3lK5iefNxL9/pvMNSXIR65H+sri3eC1
RnFNfgsG7yya+JeYrY8RdKlDGk3Gzm2T8vnfDGCzJi1au6Kplq4hwyvV0OGMm+2/FcAWcuhcuSy4
L5WrNzcT/aPVzylsiqI+luGdkdmi+K8KYmOmG1fzYc2F7zMYT/9+GpvbAY20bMQZln4WyYZGx7qi
V4fPrEUN+t+ey6ZlpiSNKsjAPf3fE8wmlNh5TCqz+TeD2Tq7TnnBqLcMSf5/MFv/XxPMBjEsu629
BgVa0l1/nM4WGfCeMdH8N0ezGVo3ojmPGNBZCIKZ3ddHr5ogz+hze9V57bQaWirQY6uw4MG3ujG+
MKs7hi2NW1zWZA/YQfSsWeUo1mGhfY3IsnrihabyhgyTZw783gNM1mZH3GNjkXjUOtZKVJW7DMBo
H4MuM0+TECa1EHFAq8lQnKPEMo7rcYqDB4fghUPh6qJDjhwAmyd2ztrmoaXdKG2m37Zpmuw4wTXf
Ye4hYNRn8V8lYqDLdjBhkhNtetEBCDpAFM8DPBOWehKlG15WBkVgYijyMitUq18rkExOw9QNF2av
BbshCcQPdH35gzGq6qHppvICPl6JLm/q5oCxInXJLIG8HOiJt28tKF96b9YzFFpt9kJphwNYjUNo
DaRK12k9ndwxcPbKNAG4yTkTNFajX7cp8ZRx1OTXCROfbgn43/i1b5Bz0263byJjJGfOpM1ISGUx
RBctM8Sbru+KXZjrUJZKp1mrRhQfK8uDoGihplxbcMzlEq0t7XysSQqrMFI8SmE7Jh4iIGdz0tV2
GwyqsXdLt9hFBAGki76JTHM7mh5GGqSZgKiT2AEMiyvD9vE5DtaDR19qPdP2V16HkqWpd5MW/kgY
lPgCXQi5t4SToquII79zXYdoSZrBi5HPc5VhRronfjZ4UkkaAB6TiydFgCpeMKPjv3dwuRwxV3TP
Xp5f5VZTrN1AbQ/WVOrbtqufa0OEvxKxZK8LAeKlNvMNJwq8ummT75WBFFByLnrKmGw4lIRpfKk5
zK30vg2eEvJBcU7Kqb2jip0/HPzxyzgKwD1bnSKYOinePaBzEMiJziTUjlwEiq5WLL2pTxZ9rRZH
u5LxvrYzMmBzOmYDU6V9CQJ/Y6SFdtSyivgvghF+IMynxII/7owrUxOp5VMFjAqmcgryI6Uudosy
thYxQPWrrDYr7FElc8U2CPRlhZPbO8C9DVdmKrKl01Q2bicngURmRd+MiBjOHJfwCeFkby864mk2
cGOQgee67pHe4ibRQsjSWZVeLR0/0gbwQo26pQ3QH+DmY7KJCGAcq3Lau4lg8FPxCMJkpJPSkEyS
El+lLNzeSlq/knq31fnV3Hq6FlarAU/a8zgw8a6oeSXlnoSfVfbefSpmWg3WOPcE75x2YoKZM9eN
XRNX+kNgu+B7Cv6HkySNiFLTg9tQT61nKjsFm08bhNCDEbU/cL51roE556sGB8eij4hn8SclQJMS
NbjZcWeAJ1+YojZOgI09rAettg+CUaxwuTGGbDNlEQIzv2xyOz8W4dDcNO7wYlDeDECEk+IynSrn
kOfzQXx20jsafTeyBMxLiJ4wv62h/7UsQ5okpPyVjq8DFEJy4HRf0SijQQpE+0Kr+dJulML2gzxs
rgyY3vvOiPtDVEVN+Ft/5B/Nlf5fk8T8Nhqi0vjXiphl9Jw+/0TM/fMP/cm9BcrIZMhB7Y/Kf7bU
/aaHcb1fdOwhaP9pdZsmIKm/9DDmL0x5Zj0inVfkaxZ/6I95kg4tFzQL3FvXmyFBzj+ZJ511tUiV
sU2GN/NAy+VDnIvk4j4rdCLW6q2rFi86Lynfjet96abPvFk3XpJ/IrU8ayy+Xs9lzsAdgRpiu2ct
IGj7tFPDmBEqXWe/G3LvkaaIvQGTMX5ivzkrCLkUF8B8o0EwQzbk/q1QQ5MTS4vOmYDtlyCQIdfY
+qTqPBMZ/nYRUFSI1/AP/+3+lUBQkMAIaKdspm2tP9mk4CD1gU5BtftmYb0zQ3r3CzkWMwGYK7Rm
54HBm8qz5scdmj2QT9GF9YmajaS9TE12/8lVEBKwIihyvXnFvLkKsQJGoShNhT4+WjsCE3QeFf0n
X+Xvy4Ap6dztnQE4eEnPLkJzkqCpmK4m8/H6KJvqOxrr9AoPdfrJKnj/ShTtHg5ihK5nqwD04FS4
Q18BJy8vhjJeOLPACr/6wz+/beAS/7zOWXuYnrDFbLGrtnEkLyM69yDJ683H1zhvoL6uNhYAOFJm
Uxg15knem2eT5HgIxUxvV5CgpMZDNkJC3bTFpeYcxxJuIbEyUX3D//WQBvi3nReuPv4M7yxC3lCE
l9MHpx/9yq5+8xEKXi7IaOtqyww897NOIbCVBOn/5CLz3ImBC/qss+WhO4IREbb2LVwI2o8SAwLm
Wfv08VXeWRqvMnNkgIiWMKr9fDfHelKsgKPJ1gQoR1sN9Ea7z3AGf3yZd+8YY98/LjP/+zd3bNR7
zRnClpURJl/HoNr1qRP/JzfszTXOVjnePUfPa74KMIzlmHdkjuDV+uSLvLPX/XS/zpY4oKECFAEX
6bSSvKo6b1AMldQUQWLO0i5t+fGNO5tAzqvd1G3dQyCMaPRVFPrTjXO9bKp1hS9FfLqAfmZc9s1D
JU6TzE/puP74au99OybOmN/ma/0mHH3zmGgpejAeqmrbVmZ6imrkoKNLeadU1ffOrdVPLvfe4kNE
Mr9y3VlCcbaZq4o3yC4Ak51YfbkJUiih/ZxS7ngxVLSPvxqqd9bYm8kLt9LT+Mm8broqTfyzH1RF
oqASiiEnJTgOu2VbmIj1xsEkGZrI9mFjFAMhZ1GrOoOv5Y523Q0WAcOye6iZeqwUry7ujWiKxALC
jsbURkziPugKVFAmYfUmuS744DFIGXclEaw7ObbVrgsCd+M0+aT51SCH5Vh48DGL1HEgk3XlfdKZ
pg8ntbvUKkBMcdQ+Bgy7qFyTkVTkMe7uJzv+PnSqteoDRjPllO0haLdYfgWBQExPX6IBChpsJ/tG
t7WQVMTAhotb9ndhgjU6BE2HTGsLtAAy0gb41iMUvrLxttnkRCuzR9IWNy3XdjKxiuPQ/aIHtrfI
bEjMtPqqx4oESfIkA1HdhZFi3WjuRDac2Y5Er6blbTUEMWO/BvmdJKl5PeoMrFqV4MHCusmtCnif
nsGJbuOrUNzE7QV2M/NCBgDN/F6XSIn5aI21Bo5X2rumapzHMWq/65SmE2FsDGkmwandR7Lv4fAn
hk+Ahgtj79GcnGADvxl3VOsa1YEc0gauQvoCeCclHxWNLHCOYB71VUid6GgwMbN8SvRwS/7RtDR6
JV+MSn6fDqAbKmB3WGyWZmxyqzD+jQsE/6JdIhuZ9qaWDQ9qRYWhzj/zNFFx/ldzbrszlKtmYnZT
DqCk3RZdcUakth8FofM0xSpuBKCAZJxmX0HuFfBcgmLpltTPgCraUl8YA6kLS6mS4UFt5myqIJUv
jdkSAkukiCE3tcV422+0sHtyG404QrBIhcs4Kqjrizr0IkZGZbeOwoERvD71d+5U5Dsjb1ptQbox
I8YMceN1yfT6KZyIOVoEMibRRLfG5MZuugLccq3dFSq1NNzaUX9KA5Bd+3HolCfaXRYTaQvHetuR
s7WIo8G+JhopWMrSbkCdWRHkGKUsd4Nnqd+MVhpb24XoO3jaUz8Mq7xtk+vIMO1j3pWD8PURbK6Z
Ntq+muqBpHZIEBUzqMco6YlyyafpxrHSEQQC4S3UeW6UTTuHySeBb0Iv22UrESr7RuSOFNMK1MtP
NgsULj9vFu6sYUNPxWao0U+zXqkab3bC3FDJlpk3i1DvyFulSUV5SdOFKPbJ3rVSCtTFVnTRhLZv
pBYqtNrVfyQJ4s6w1MNLTDKAkqw23BCxpvoNiP21oWTNpVUnDM09qQD080J/NPPD0BjMtNDUkeQY
3nROdCxdM/F1QLNd1J1A2vmVeV0hn1qELsUuTOHl6MpTCQ7NnbJ7s3+euuqiV8qUrA7xFYEOiWW1
JnZFG3XkQtlTDaek7luG4wD+ewtiu1agKmiHLFuogqbaylajm4gx2CoZMRNaLR2qvOvyDQSIRixi
gUx/kbml2MBe0y+bcmx8uo/mYWBdX6JfStdErZmLJKtfcqfBLO2pzCsCpPQLa2jIp+Q8jdIXVy9U
6n5TN1n6UveZeGwZDOIytQPMZRMZuElKSCkLMdtUBC3fDD0+Iq3bebH2bVJhUqzH3HgwhGredgqt
mnGMvYXUk6ssVMWCsCsi/Jj5P7ZSVRdqnycHTejFc1dEJEMMTqk+yV4dCL/GaBaomXbRyqEfVgnB
dC9hF9cbt9bCqySDxFJOeY/rT1T0Jo3aAaVXZahmGZ+HyUvMFn+Bg6xdGm5YbM1JakvdrLvbkXTs
Q06cdbdQE3fmiDnhMajTpCO0mnjZWnrjcyYa9bno0v5qip2kW0+FZxw90t6vRJTkp6ToyPIFxU6H
IlL11vHbvlVXalmoRCOVpXGbI1ghoMp2b5vBchaGonqb0dDkAeBwfC/iGhUbaXwNkXqAKG6QLpk3
qCVKxEMZL4eK/JI503YxYgAA0IHeeYWIuyXzkT8ohwnFfYTBY21hYrjIjDG+iqE4+PA3yCAyUlI6
U2OOGgw07GRSlxoLKMfXITx20ml46auEPODK2eBnxVbRCPO+mzLvVulaYhbsCeqEZ4QXuZLmx6om
BVZppLy0Fe5nrbjRr10YxNyQ8EmdM11hsnyNhJvc2w0aQUtt1IVnN/wkyQbuN0HtjH6X93ci6UJU
Ad2hjBN7lWb6uFOGNN5GSkc0QpGlj0afpAfKWAZFvQHaZJIxo2jD+g7eWx7NrupuZFaRy9J2egjp
N+MQaSH+CXXtfuiC52kCYhnB+gAVlTtb4RXTPkDgj5jAje7SURMHwQlhZUC335VKNqwKuG2roFfc
pVHLaKv2LTr2weEw35N6jpbF1+RwbRrRWivhn6K7rEkEnOQwzHwDG+FPYj+4QxE9NSVbvg0Wsq8U
Z+2OQ3o/mCXIZ2UgBTG285UzKgx8PUnQ1Ii+EooMPFE4lQxdZ6F78RBFgXaCCWOdIKjap0jLdHp5
nXcMGckzxvfia7CRZH52pYvu3usuA6hqiwYOWIgCQ21gHAoFB7KHCQQkYO2rdUMMoZVW6aHpbXRp
ltc6y2pUaIXiH8Gjk4YbG84rplmTobcqX/qx7iY0L/Bw8iwNd/CJgitFz4P7xotRuLRWh08FROa9
McEu9iHVjfdOEA6zLCpSHd+asEkYxKjZiyrTItRjOQ77Wq2qb02KVEPJZePzb9GYEGdXE+XtFdXX
2vTEHnCcAlk8VIhntGuU67Jvl7pxTB0gcZ462RwXcudKLXT29bCByeX3BDdQ5EUmaF6viDf4o+S0
0lwYNh4vvu+srRYTSUHYrSdxtoSgzys1S76HqUa4d63nMcAWl625UaOvlQ3ckYNldKnMXCFTqlBi
tAFKW55GOAAAXT7lmfFdkIhwiBUbBJ7nZTdVGwH197pc7BODEQC+EaNdD/zCliQ5GgTwEvgSYaYB
tNJYGtwmCfVfyrC5y4nD2xFQKQ/JaCsHEKr9UkwZZA0nsrdpPTSrTHWKTQ4sZtE2Yb4vKgLVMrUe
/AoF3zXO0eleUZBM+JMDBq1xMxhufVPfDEIxYUWp+a2WA2UslAhZUNTo+9IktwSaI671KbE3bTSR
t0ssAUaGoQTmMBFvIe1+LdAD+8SDglkYBZB1DaJb1YvoShLCt41lu8iD9iWcWk7PEa4BO4uWWXhq
NepUXoCkcUbAGfQFwG4AVTdNVOznCLSocF+M/GVUvJGT0q43nMDXU1SHtXpXCc5pavNia+pF5Jbo
SVN1j8ntygi3udTuvHxYEMC9puoXOwCyHKATdy0zY+AIFCwnw1qqCWbRQBm2oCl20+j5PBfpq2Vw
n4lsUZb1QbKn05tg88AJEdjFSU6kigyRYyyUcrzTKDpW5MglW+Zc896u3I/5cOU2zB676LrkjNja
0xpjfO332khuFRBiX5/DwDXK2oR84GXBj2UZdD/0flyKjn2Pw2e4wsg8LVq1unX7auQDg5sYc+fR
DThl2oAr4GRGFxMjip5pw7Jz0dOyN83vSXxnYWQsCMn1By0W95EYLqui+LUcddJw+xGfkfZD6y80
rf0+OIrE1eF9SZDB6AroUyGpfJiWYDe8G02NfTqQKxf/nZcTxTpwlc7mVFzjiuKkeiNJBrTUgghh
FWiBGMA0B+kxivgoRJGO3DpGrJms+6PVEG+QD2BodDldydzc2KPc9EH6MITyuu6U7xyciIAIEsM3
VZpaSvxMpcbR0bN5X1vV10Ha2nJGptNoXRVGHfzKKrY5kxpQOsmVxUpFNlca6TMFSz3Eob4eg/aG
oxsC1QglYeVjGtsGpMM7ebpU0uBlyMSVnYovNfxI+kDdOku0U9g4TEZEl9rLKCoSX7HDsllosVup
Pn3THMq5rU+cmvSi2CAkY3JHoBqpCLbamveUiB0aPBLG8Sxa1c1YmBcGYQcHtVpCu7/spN6uVJcH
r4x1tiyd3IRCaNaMrdJxPnc3WzOO8wvX7fpvsGvjg1s8ggHzEJR6JSLN3lom/KcnE+DfladM1Yat
J2I0VhBsgqECo71KVoGKAyh0mTXSXBsGdqgucVFbqiXnIHtjKSHLy81vSqWxMj9y42Jr51Nyjzjf
XtWFWTGtCQh2VdXuy2Q63rXBuHjhwHp8UBRcnD2ZOpRzerS1Eid9SFIsYlnjEJem7Ppi/BErAruh
odfuqh3r+I4UebEUMMoP6CQiUJwN0ybQA3C+ODAQrV4aHHD11laomLvBph42q2XYud/SQaqLGhvR
OmGAuh70BnQibsuLsAmaX+MGdryIGfh3tJCvnFzXVgPJ8Pw8dfcLymNO64W+YFe6U/8Xc+e1HDly
tulb2RuAAt7swR7AlC+y6Mk+QdB0w3uPq/8ftFYbzWqKFdLRahQTE9JEZwHI/PIzr2nS0DFbHKbV
6NpMccSWa8QzkRuN7TlHDqEV8Cb2+1Ha1sagOzgq169kpSFDcIrxpcrEJxzI7ocVnwo1B+0TvKM5
0W8QrD8YRjld14XRAj5j9KX3LKbK/pFs9kG0pocZIxAvKErmdJmCvZKqoA0NVu1eKNSNHoq3YSc0
d1lk0L/IzeSuU4tmQ6NAfM2NSnMBgiobC0f3rVBq6S6Lcf3uBhzRk1rGqDMZtuU0zi+Gjgi8nE8m
2e+U3TA5Hxz895jrMwB2xrEy7nDQbo9+Qrq4lk0km0U93ie5sRiXjyEc2GBhUY4tDF5Vim6icm5d
xnOjl4NJv4DKP+tSAUOAKA8K+Lc9BGiqs/kJI3QxKrIQUgDDZRSf1wO2MXZW5l4mQhe90Dda/rQ/
2kZ/rbZUin9UglmUa61esRoOpNcYzIftUxGSoVUrOfyBoFaPo2euSC9YNl1Y+az399fKZ73ZIMC6
Pl3mUoxTp1+x3+F+BKb1x1CARXcNiFFOM0YTfvGi04TwZMUQaiPmiAvjDq09EJsJnlskoIGJRHGa
YU0751w3CE1//1O//iIgAml4W4xlzlprNWUXSt3wJKIGSyYVaRQCPloTKUJB2kCe9v1yS1/w/JMg
SMUgUUYXhvnM508yVAIqpwQbfE/nDR9CCucV3F7rp4rMLuITSnGpU/nVAzKqQQNLwhIE9vznFasu
M5TSkKtNLevXHLHMYQK+sRTFcNXMvDBe+EuKZdngf652BuMsu0Qrh0Bh/GQkboreImFx2XCSpUF0
AM44rqbWvB+rC/3Y3w3Xv14s6FHmXpBuVP3sxaJEWmntAgDHD0pCX8foTeCwQ4g/gaTYUhPne9jC
g91r4GXtOGinTSBqkeroQfKYzrF1mDsELbwIm69dGt1J6ARVeCINYn2DjDIxukJ0sOivJSnFr7G8
LTKuHP9Qo2j4pDeywbap1U1dmeTCZV2HnkxPb4NZZ3sYZCTz7DBsLM+MJ7uTE3UtigCkBSGgYiki
Cl5sGh5qEQkBO0yT+SBGwSL4LAkLCa4qvUjW3rWkLa/6XmrwNfYvvL+/WDu/PxydeiiJCrSp842J
ln0pIzdfbxg7KTxiPK6MwjgSMupeuOV7JRiyZHiAhNR9+cUpy1k/fQkY/LVwC+iMoPV6NgHB3NrK
MyvuNmoVqXaHcTq0dEn1QOgbF47gV4+6cB9hgcA5RVfx7ERATYgsnKPbDQ0AmbyrjOejha2iF9bD
cyYOuWN0uDXE45TbhimOdonxMsRnnTxED5sLV8IXEeHTrzk7MSLdOoj2arvJNbyxgLd0s5NOT5Yf
OVqdgk2RthMqft+HoS9fN+ADNAKZBkLU+xwUaI/QSDNZ1DciEkdFnVFkqAAGSRzd75f66vlklTEx
OpoQwvSzK29C2rFeJtKIxInVxxzSy86qcVrHoSbS8ZDsuTBVR5QDbc1cXL6w+tn07ve+QotqUUoS
+e/5vhpQFUahPGg3NLRiu5wNTxQoL75/xOUTncWe36hyGMT/ZB1+fpsCfrWhVRnVxg8VwGtII2ip
iekUho1hGa57PdxKjEwumJt8xSXmrKL3KHJwwKCcXbIjrXnGXCZ6BGZ4iDN8S5a5dQ3PUVSNwMYW
5AiXdRH3diJoDThZoAP4/ZMv++SvJ2fopi+/ALGzs58gib0sB4rFdYYeO4ZitAOh+Z1MakgaNwEp
HgnX90t+/dhgZwxVo4lhnANDGFvVQWv6zH07PfOCuW/2Puyrjb8InWe6PLhDbUx2Twx261QIt0h6
4KoeIe5x4Zcs+dNfT4+rKUQ7hev8vNNeWUlcxhH5lR/6Jna1yi9tHkjpIuYKAoyUdFGApPpVkdUP
5xpXO5GhDsXzhVv3q/0H4AY1F4bUXPJndx/RGMhoRuzuAXS2Ee2wNNzDOnnCBUN1y07al317//3D
f5FW6H+saZ2xjrMI2KQvkuHBAXaoTtB1G+1IEa9mYfv9Sl8+HWJyQJ2AX5nnGZpAQjiHKithS/yI
2dvBMkqs3sz7CchEXvWeoaUXtMe+2ta6TuZnoj4LeutsW/cD8om6AsypkpD2lmNd3EhmlD0j6kHp
yJWPWdHgv3z/nH9pqS53oEEitHBmIcOcn+cyFFspjFs+o6DgJ5M09bNuFt17CLp0i9+HwaCvGZ9A
JsqeguCLO0dR4oYS6U6XR4Zdy/27ga/XHhky/61tDf0gdnlw/P5nfhVRDbJXfZEERnTvLJ4H0N99
o+zrTdwX4oLLfDGM5EI28tX1xOVEdYn6G47zZxta8Q2F2UAKebkWvanQrG1Uzao9K1J5IZr8rrjO
zzAawyD8yBoxHj9bKoPKNSptU28GxIfycGnPY1nlTqoqIEqNTtSE84CrhGUKpLXInVhA+q02b1qh
jTezZhQ7jbZ7aasyhkozGGxIv6XtB62ySuckeA5M0fjw0Wy/gH754vwZiEKjVadh9wjB/POdowad
ZU31XG8mJNi7PH/TRYTGB/yFx/nCRXNpqWVH/FFGTnRxS1EUKeZiSHJhfz3FPbdJ0AruEvP+4+3F
cxni4pGuaKJ6tr3gYnXURzKnXS8Y2kzR4rCTaqfvV/nykVDd1BD1YIp1nv8o1ApxTGq/gaS5CEaE
JwP4Qp4xXUbd9sIl+cVuXm7n/7fYEuD+eH+YCdVFprJYtOC7wz6/tXIgDJLaXDAu/CJSflrobC/T
gUeUXGFPZFXjLVEyzzVPl5rajcNZtKscsdxyvrQTlz/17AQB8CGfVpa/U4J9frxOtiINuGS96erp
yYekiKNst+4mzICAyDZoO833S9yyzEi88Ga/iEVkASYoIxTrFGben5eOmkqxwk5vNoZc59e5HnT3
YEn+i2T50ypn+18frKwyecJNjJkwyslQP+pIOhVBd+Ha+epxaDMvJQmTe+m8hu20ts0UXMY2ZoJy
EkjCpz5T/vPwDcsSoZDfosH8w+dXxjjJ7Luw5jDjEl1BiLXFEaGj74/XVxuR5iOaLGRHkC3PFkmB
C026zpZIq1R32B74TSoomImPbV0qq4JCCwVcJHD/i2URJgQTrS7467OdmKqlOnQSz9ZQbpSydBfE
cObj3GnzygtqCDGR5X6/5FefbPlYOuYKVJTnO9CcK1FsMKraTAbD6dzwnS4ULr3OS4ss//8fASTB
ohq9Qa7cDIjZKq6m93DqpAvf7Dde8vwc/0bq0Ze05L9uFHSyTINpeL3BjRCHdyoOEgmpvQoayXhK
u868W6hW71JiIabfNLlw14UDfJb2B6nJsUhN/y62ajF1ujrD8HUS/VtQ6XZTHBn3AEr7UPn5OxXi
CgKE4bXWHtOFJIQoxtJ3W7g5ND4wEFN9/QiHRjiEYhI8tMVdGjOcTRST/l9k3tKq/0Bhv8Vnbiqd
2sjMVZJLL9jN917QFL1XUEy7TONj0A7akQQ9O6ZK33ma0fqnTm2aVVEW3co3B0hVVpxmoDx8BuXf
b4y//AvI5nBCQCdhAWJTHJzFpjRTBzEphXaDCiGjj6ALn3jI4NXyDfWqaZcJi5ynkuwCqC/cwh8V
lxwldiu98vGHxA+uzHHSjuUCq9h+QdtHgXEcAwsf6gBbnu9/7hd3FL9WFSlKwRdyKX7eYmET62No
hN0GEyQXibzaDiBM2YAz/rnQf8Qz+bfKZO/j/34vyqmOgrD9P//23/r/UL/MQAKF8mvpsWJ3pYB8
5QX+e9bJ7WsO7rD+X27UR01U5H8SUL78o/7JRYFxYlKNsKk06V8KrP+Xi2L+A2EzNtsSbAlGFiHi
X9qs+j901GB0lMBlbCrExe34X1wU7R80AOh7W2iUkPqCrv8PxFnPotRXb+DPKCUXkyAjpDAhiSq7
DX37FqjMH2/p9M9g9KcM15dLLHJspIb639FWmYCD6P2IfGBvIeAg34SJ/vP7Jc4yw38+xR9LnMVa
I8+GehyhNAY0d4vI+ohkYCtGWNiGHrrfr3V26H6vtXwrwq2BfNd5riuZLZxORUWruUwemiLdK81i
hzlsLizzWfPgnxuK2pKzLfMf9HM/H+7Oz6RBlIZxo5Rdu0eKZa+F2avR4cXd41wqMqh3qwIJnqS+
1bvxPowlp/PVdRCoe1Bwr10qH80CVmzBiH8ahHVgRD/xOwFOLODDKkqHEcvRxgTv1tbRKRTG267p
R1x128gx4a4Kg3DMFy+SISLOJ3UvuYIyI+Jh/Cgt6znqrf2Yo2Bp9XHhDjTltVjfoqeDRIyi0yAE
c0SRXrmTJqEBaUl3NXKbXj76PwQdn8QLr4u38cc9uHwVJII4xnwU/BzOFSIs8Ay5OWnjBnwECUwj
gZ40D1N8Gar51UIQm9BnghP0V+lpKXM5tZU5ohAW3mkByiKWb72Zmfwsh3jR6pdylS+2NnpcOspo
Eksa533vQeMRZsEfN2hdeEpeYZKKOWWauqnfOt+/wy8OqkWLgD1NBYeI9Nl1wk4A7dqVE61JDE7L
flMY1oUlvjg8dD4VhBShBi10s8+bGvunaED5btqYg7IaZ81OsF/vi+xC8XuuTfh7OyicTUScFLKi
86RSRO2mEjJx3JQdPnhNUV2XY7kOwGpT54B6wx/ml2aFboTXFvs7djpz7O2+LH82YnYCTbnXh3RF
MWteuLLP5xh//bLle/+RFhY1lA7eP/vHsnZNzZ1dt83dqFU4gLaT42vI8IDe2wYSTYox2qqpipBP
UV/Iur/61twi3D/QITDZOEt05F6uMyXIps2sl8C9pTtAH/8xd+X3/aWibriURTQePz8qqFVRSsHe
bbDNTsWb2rgOc3NVt8aFs//VszCQ+N3YQuT8/GN3ptSBU+ZIAqURoo0pPH9/Lr7atKpG24xzqNJB
OzsX4ZDPNQLH0wZDTyyuQ0/w/atpMLbfL/PVSf9zGfnz6/LVfDbDgas4Vd8t0Et5VNmInttmoHrf
r6R9cbfQsaTzzyNZyD2eHUNJKPpGwq5+A4TpyFgJYkCmXfVitkT0jSmDcYkYgVKkb4dqvImE8MNS
ZBjWajXbpoqQu1TvUZV6BRpxW1ctvqia1mGqhpO4WtU/TZw3aYCiolVNvxpRCm2r6Q+WOTx3ZnCK
ZOVHNfdrxI0fKgl/JhHaIrS2IYQgUSJHE9wAHInsFvKlB6T4iB/xWzWFe7jib2GGdlMgbBFMiJFJ
6GwjHFbYzQW2H+auIlwKil99FZJrFSc5qJNka5+/Sip2SR0XfBVDzH5qebttG4QPynEE41heOJTn
UxKCA01aWE+cyWX0fz5209A4jMLYnze4oPbA/LA2LDVrbdTSBhm8VZBETxTpMD0K6bWlhagOUn5p
b/A8ny9SfoKxTBcVdJe0c8KrNuF5icG3uKFHsO/RyMImcJ3qxoUI/feZ+rTMb8WnP8Lgf7vMspHP
nwYOFn4AVEhYqJ59vSAsdACLEV8PzGfZ3AjtVsuQbWtWY/l44VB9sRQ2JmSF8vK3840SSaVU0KKc
N3rUvedJ7VkR8nLIFv/H0c6AvmYSixZPBTKezxtSqsIejNs4b6yutBNZQk3jkiXd3wGVJZYRClMp
OGzn7fUhblUC0TyjGVh/JJWI8emlrtlZ//H3Tgd1gqgyEzCF3sXnpzCCoZ5Q55w2si8fo0H7CHqI
cf5sXg9Z8azi54uwi+T4RVpeSEG+PGRL7x1yHpfFX3OKNlwUGzH228Chwy/VQsRLKnrHSlUMnVv8
YUCneqkg7cw0/KhUrF5F1fz1/Wb54g2T0ZECQcr/LXn7+fGzuLJgSBXiRqzk67BPdlWuXuqA4pa1
3OKftv9v1zU2I6x/+pPnIzEZYHspqGa3MeGNakrhVtpKkn429UEjUBbdsBnzFZwRQTnoIP7SyrOk
W1+kbqgxzH4Sp9co+xlDGKzXQ34jnHL5ScZCMnirwL4BjUUVLQjBgruQyK9TRGM7v1//Flnd4qW2
U7Betl6taLpLu3yv5GAN+7RD606d8bFr/K0h+GvQB64uU3Io3XWO3YDaYsyXSQrw3PqjWqwZ/Sfx
V5hMbtknjgjveQaI1onF3pB63FtVD0nd9SSl7gBNIdMijjYNvWFdj60bdj8rJLD7zGq2VpKVXKg5
Wjw4ofu520CWEchCu7Uvl3auvolm4OZNic9y5CDqA74QRUDfgWbulsJDAz2xVsV9GQZuJvAjtVzc
hGW/suQYYyDBDpXaLpD6Gav8ZMgt2GbtZpCzQzW8YmjtmDx0I68J76s8fLWC27Tz5jB59lv5NswL
PFpB+RVgjoCEbrIEaT8dp/rwqBcfUbpt/GcklSpbQ2XHwghcFsRtR/cM4o8NK9ypYoCreoWju98j
/g3Af9C53/14J0oZXp8oIzSwLzLR2vZqshbrqLRrM3EhgaAzqeLoiAGcoazCwrhrSaTYoo6CXS/p
w0OSg7iaW4DcjKu0EaMEQtO2mwC+iP0TrLQiSpxKwgBpZ1hHE4KU1sdeXV6HtB0Rb7qqytsh+NX4
YU8d2Xg6LJapCZcfEK5bbFrHgDKzTEpcvqL7JFIOVojqW+hlwCvFcvBacPalK/bNyxh0SBT3D6Gq
brX03kpU9BLMAxPUNS1EtwWXmvv3uBs4STA7eY23cXmI4QypTDbSYTEUCe1iBHp/J4iQStrimgn2
xoLSEqIt1HfjGmluGfzFPfHxzbcOzLVcWdOukf7D6gG/iqYvvDZaJ1N0rSCYaU+0NhpzvtKLGU0j
QB00AKMStLcCEhtsojMOCuCzxLGmVeC3bPDKw+TCrgqQ5vRgy8DVzPsm8FhW016CAurdzwow7KAf
GUiWeULFPtpAEL2mcNTumGN1H7gdDnE9d1lft7ZSvU3dTZfdZsLGDDaRZpfBXimug0nxEDSvtdcg
OsqlU71mobqFDNmXu4o3VqV0bl+ncacGwMALE8v0PcokdvOzrqQFW24z0y6mez0xsM3C4eO1Me+D
hbULCUYIYeqOGAZCy1JOef4qCbojy9dq59vlGGAF4ZrVOkg1N/HLqxp90FEuVtaAWpX8Glq5o+Ah
EuQwRjPMYrTDyIc2ogkrDXFj4bwZj8ZKMeYbLb+Xs1+j2G0EY5tLB/UqhrxdAxOp8TnxPWtEyyQK
wPKjYDtftVKCOqogIwdkhbCRq1fIe8c+8K2NUSrkTg2eHZhTuIMmPzRtmLptVuTXRl568jjddxpU
cKxY90bVQJHti00F39Utgyzx1NEc7cqQklXBlbGLgBZ5cxdVP7rB2MGYS+12EHRbAMDY00ux0bee
d/QEb+M0Dlb0lEJIEfhyBlR9jSXuu1TjF1I7efyZ9NM1/0PSECRtaJtsgUgjXxAZsyPEskf7v7tv
dOEFzWLHVE911OxnKf8Ry7IXmvN81cw5Jit917lljc0wSGvoQA1cVkNyRGxbph6tFKPK7+a4PgT4
COD5Wk+OELT9QU4iwR7Taz2Xnb4FwptlmeEJuYjWV74BZ6Zt0rbUHT2SQyeJrWObhCtR9x8D5caQ
m5suTq5iYXS0ircKJcyyIMkZ00s3haM9y6AcpjgS3AmuIV42oz2wrcWgN12aBE+YeL+OkuAMudSu
sAcdSfnVW7kmWCWtvKVmGKH4hUjgjb1baGhvzxPolaKldzUqcKsAZzLYOPlZ8kNrpRvfwJJS1UAP
NVF8rP1uGwcc4SbCcLiLTLcaEaTJFf3FCrRjWk4nfVRexP691aJTXFWPiWzshxqtc6NXbLlChVcb
+3ctrtEwhrMc0yC1oY9/DNULhO8fSGaxDf2C0D47JRE/KcX92Kv3fLpfTOoeaA9+4ICl8emFfSHM
a6UcjllSboSivi51bSUbzS3Yq1UqVU4Yzm9Zo5WwKGfClgyoscfMjjGDqJS8BQmilDWeAj17liYc
KFrqxIwzMFnpwUz67ZhFG9XotkOOaJvhV/uh0l66tgy5iPOd1s0fma8+KB0/b7LuJ7JjR8+U+8rw
d0UPq68Yb4pYdxAH/xXGixutIL+VImTGXD5NJjMyafQ3GRgCSWJPjVauHApLEBxjIYomxnLVhrrv
xdZwJ7ZlsRvq/LYI5MopJWFt5XApJ2HfGknoKZg/MzbpcIBOB/0uSXIcZCxGcTHjcPjKZB1WUoTX
egF6xzDMddgxkYKJdY+R1UPSdS1MueKQZcVLHhIsCgyJBanIHPAcmZOW2V0wJm9FIh58CwJ0h/OQ
Y1Xlu9RwMAUQQm6gNrWdJFPpGUYBo0KxbhHwOAlNnqJchCMjbDYwyMouFACWplCbSmUUvSBvRTft
2pUphk4ULHbm/I9Vd4NAbUYkVFx69p7McWkkuEy6yk6Ua63Hz9bc1rNOYJK4NdCXBvzTaYODHArd
l4E2VVALDuXKQ9jKj3JaOxru4TgUmo9F1+SuKQ3M0Zb5DiISCzXYjUirYOnjOpLVO7FJtgKGllw5
+krwg4dUEh4xq/ekjB7bMFu2pBW7th4qT8RpsEF4sqMxU8bpSfaFUyOmJyr7rRDhOavOJ/jc+7JG
4tqI0mczFneRytPBoZvjmE8tSBthyO/Kaqy9RPdXsgwhsa6U5y7ncAIu2sdh2uF5hBacL/Cm5B6u
qmgN+y5G2aiqIFwlAYhzGLlkE7kXa8jpCOYuCPubPJ1/BiFMFjXGFhlTqI2pBs9ZoeR23mFajlLS
irQaBccGknTZ4KA0aB0kE0PH9FiKn8IUgFmcOINoXeWz/4zhfAwzr9fXaSkfkyC99rXKcCKdngbN
9PtOIa0b0biAY/oKkOta1iHFDq14kynZVWlgvAsjA7viOL5C/QGRSEt18pwEwiiU21lpWI0YrcVe
WxkbI0+P5OMdGc302GpB6EA+x7WrvNMgwTt4L0cuHG8OkyZl7FzhFn4w8PZSsXNrOLYltxDpLrS/
p95IHmM1lR3QiLd90ucrzIqqnZbM6JLLY+0Ufo5ShR/c1gIEmE7eTEmjuqGueuAfNjD933JZ+9kk
ceuIaQM335y2acj10gWFtYPIh30vJYLj936wUyCIrbAllfZq0cOo73MH7xKmsWm01npDRaphIjmA
Wm8L9XzIRJLJSO/vfcRbom7YF7nsDbN5RHC6X2mq9kNoxVUxJzsgVnw6duxg+KqbtqK2hvB6gOPj
iBisy364RTjZk2adGRR3YlSa3DiBU2fqCwCLFaqK1zSlnaTmSgI/WrTGkxCg654l21RWiHRMWuPG
gT3sTKRx4UzeMjB7qKhS1C71hDL9aRhsU+wBEYqywZLvIlJ1s1R3bB1PjPud1U/O3Fsx0gjFQ6vN
q2yE/ibG0z6k1YTnnttV/rq3cN+SIarN4/yaZ8IxyqZXyeJSyNEnl2ZUy+X5iMiD5Izdui5rREtG
qJbaYwDTvZjjG1F4BxAApAeWF66hMyNnyETloYkAAqtV8R5TgkAP/GHia9G1wwoQ3Dpu2g+UJ15Q
7nF6ud/mVXrXoqDfx6QL0rGTmpUpQEAjN20wZIcW/zIb6brRGw//CxeyqDdLSPZna7iymJK9V1Ps
ygke80Nym+BO5tfi3hilO8j+qz7u3CxObroUwxz0Gyg7VLFyDFF4nbtsJ0kvAKK8Uh/cxHzDsKwr
1J0yP8/ZJqiuxeDnAn0sqxzHVyQQFPHeNOd12GIFO2+zrPKgZa4HBCmSxDqOmugpQ3NVSrAfHyyM
/bhoPSy4D2Yp3Sb5uOn66Gcmb/Pi0Ue/PAQ0ZLcV96HF0S5Tz2gMRzUqz0diZ4qlVdFObtfKHgTv
FWZhK26nEGCgxR1SbeesXBfGoto8mielxF8jaHdTSErR+AtDPiWf6Mq3IK/3elsefFHcjBiFNEr7
VA3BVhsUhG98bAjIe40gddXJrS15bfjZse0IvTSHZTvQaMwIE3owmo58pMUkTR1BF6bpLjDzGzVW
jo2un5KsWyFj79LzO+hRcDPo1spq0aSnOkN8+yMJu9uykjdzLH904KObODV3M+ry4wJcGU26s9BO
1bb0ID7yget9X1pXco1fa949RT39LgR+FK3ct9bwNs50N3LrOPcYekRjKiID8CvPsRcgEe9HH4Zn
eF1pxV3Hvk2Dq5SKESmCOgO3oD/k4lJkDMBq81x/KhMmI9D0+n0yoV8xI3ggw2MOHSQ0nQnpKOz1
inJ+DIfuZKjiXZwKIMuT6FGvlDWey2umkmtjKh4bSJU2esCLhAnnuluJU7zJDAEvkcKpjKu6KV0h
xfuZoriyxh14LowYgzt0j9y5CXatoDwQGlxpNLZyPR1lbB/R5j8xNGXG7Ji5fF1zUY1TekIEw/FV
cYfo6FrsxZVFNBcqLDtSZwq0A9xfaKly6FpddYXTDVZLgYDuO3FSsFZ1mAs2NA+k/2CrltgQSKHb
53x8X/2FVPCdPq0p6IS8v4ex/wPVjYPSDztNSvaqWN74w7SJSHmlpFty/w6hiuQWO9BD0UD7LHWQ
NfJbIwynvoXPnejVVVImV0KjxA7KrPhj9hWNAc1LVP0t0uqHKJDWQq84Vpg9dU23KbXZM+b2URqm
besLDontbp6kdVoxW0uaFZrFu0As6WeU1rpCBUEWD1B2XWwQbUGGtqsUe3HqrqsCXZIovlJiWMOz
sgbk86BCAiwSy5X95RLGKaSKX9gIv1p1uo6jittsbjxfBaYfDahiNBEcQV1we0FYz0yvfLwbNcHc
FP284hB4U2yA/u72HZziQVFdtQtzqNM1GgAz6em0VXo6+YOirUXOK+zq6Wlo2lMgjxsmMzCKNRvq
DYaO06kThgN8Rc9ADSWoxtuICoc0gMMdqVD0O1/nx1b7DDcLUwjZE0NiR015nUDegRw0HKbZ5w/3
T4MWeIbIKxUbr6vRoJ2t4uc0h17e31So56qlvxYYpiuD/1ZV8otaYnlTxu2VmU5kdZN8a8Ldtach
f60EqBuSP91j06Z6WRNBVzfGfV6JJ1WkOTKR0uTSdpDwzJn0QzfDt8YUxR6SYlWPOgIBimQHieUJ
BZ+1HLd9iweqAONTbkMXbJ5Xq6kr1qiTQBGygTpzm6Uw3xrqyCLwoqJ+lTAghZJvOpaouNaYhbDS
A0+sEchoklVLbMrr4TbN89sW1eA85QQESf7aw9qwfbl3BRScDfK0Spxe1FF/RS+eblZ9NXC1hOiU
Zr7wDJ7cMzC5ydVwpeNf3Zqhp8eciQ418GqxaEibdR6j99wbKxXHxpoaVyVDoUolHx+O2gTNhI/n
R+1OTQTURTAziJL3sm4++oYs0lQze0ZfmfbGsEPAazvnzQt8U86iVsGvmp1JGo5SgXLTqF4ZXbMP
0mnkAZLYSfJ8ZzbZi1B/qEQOtRUH6ABQ56fQgxW2M7DGwMLVHkORWZRxQ+qEM6+or2cIKf24auYd
eip8CPKiKBcPNIpsWRHdsRGui7nZRL5+0Onv1KZPbKnscMSCmEkD5Tcv0yeHgD3ic2cy2pLkq3C0
8KyxnDCS9rH8qxrKUxpmJ7U197BT7iO400nCe6f+CkT1ql+Un4TsFm/UH43VWHaMlJMFMNJOka3b
MnpgmibNV4M8cPGIbqgGqwFlNqPcJYJvo9E12pog/pAHLmZccKbWuJbxz6DTN++CWT5kfrRV0nnd
WtW660VPE4Yrq5+dvpwdX1L24Swt3qq0M0l/+0xeGelQr9JWUXE9JPeHpuSKWnaEEZlv0CEqvEgg
j6ZeFFx/wQ4PvfAStPGjRJ607bRkPHQGhPJOCdGy0VU8UdtS2wx9+AgH3SKzbmubmLtHIgpbWkPg
3KoYGWcVsBKrIJz1H+JU/Rhz4TkX6KOwCeusfxBbw8mm9hSG6jvF66nP50cC0cPgU+nj0+7R+Ub3
xSwOs9lMq6TXOHVo5OANrcjzWjXNZ5iVb6MFmLBThZPWd63LsJWYJgTitkr6tyEL1k3HwwkRhmeU
JnZi1A/dJG50X9lSnuYo3dFAG+b9lM8nWZyGraWkQOAbONJKQ/KFOAQtHuQOeLOmERzGCWOkWVZ+
dULcIwoYM13tr3Cdu8dt+UqcjJdqCE8QSnJ+ZnPdC/TrJkZ+QoJFIMZUs42DyIrp/Z6bGxhQ1D5L
eXQ9JvlbPnXr0dRXOY2BMm4ejUx5NupiO3UdzUaVNqC28QtkCVJ/63fmKhLpqjQSJMZUWlHy04ct
q5UgCLdtzPZFxPrejMubKqqPQT5fgUDeV42GWJR6xJHDC+f0sZqtB60tOF8TrVxjNN6tXrweGot8
sOBp4itCwyrp+tOomOhYSJuEYl2f6KDh65Hhe+xogYYnliG9VHOyN/y2cPo+dhuleFAM82HuinnV
I8zszCT868AHcGQYOUr6vXLfNtVp9lP0CrSTH7e0Q0rlFEvlttE02j+StsXj/FkbczhW+irIp10k
DjOcr1lzxrz6FVXaj2rS3akbvLQsDk2IzxFBNtG1bdV1VOut18ZC7URyfqU28aNpRO+ZUayMNnic
NEbgFMZ4ETT3SD89NKbxqBq05S0lJMgttXZOwB7mk48SO0U43PTFothUQ80pBf1NMuKAJ4dihmrR
nVmrXoGpI/wmb0p7BwHVA92S29RPjvJYIZQG4KuoquPQwKcvBTC7yzAEtjshedxLFe6fMTwMu6Ys
c5Oy8vK4ujYLRmxa/d7o9Z5zSUNXbIIHK9BPTTEKx7Tx9X1JpahoXer8D3Nntty6kWbrV+mo64YD
8xDR3RckwUkkJWqWbhDSloQhMSWAxPT056OPu+297SqXo05EH9s3trwpEsSQuf61vuX44yEFX7Ic
swKRVw8OpKhuCzM+ZcqAKqQNdB1oG0nywjHkq9fWd3Yk6CZOd17u7CqMYAuD5rhHYVtrF9pHDOti
duOHXhveCZCYuGPbGea9vR5GG3OeRzW3Dnhj3ydluxGNcQOn9b7U9G9j3N7KiUGcoTn2ckyag42s
mfbzzu6ae0/XV0XFq6DfU+4VA5N0xY2KjYcYNMNSK7vsbhg7gcDo+DyRWJyVNVZyYTPoGYvygCsl
X7rIqcT39wYcj5aWrU10wRUwni/WvgUhsKYYgdxYOHBUV1Vms9sfIDHYPfyNYKTEuE7Nlq1WboCd
sTdKtm9ydHjLDdtU9v4RjRb266yIFqboLh8NucsFXLhnOBhQ6ex4AVw4hyEXP7SiWE+gJqu2fwRs
36+iJj7Wg3dVy2xtezOax+Rth3GiqLotXAoB5H1zqanqrXRpEZNHOLxxa8YCVVzez62hL4VEH28u
DCGv0x9Yl07rtGIHNunVjp3XnRcHD1DgjsPYnmJuDYtWlfVRSprd3DI+KU9+s2n74GvE2GFZZzzg
r1nFCk3qXxRmnykWMzCjwaekG69n2DWzXh4/m9mGwkXocdGa/X3WWM+6N56z1HyMBm3lyvSJiWgL
0hTmFsHL+9wTr43HVRrB9C+c/kmH7LGU8EFYzwHsqQIKrJLiYIzxnavyx0TBahlBA6ACCdYWjPzq
Kcz6AlKAto+L4jqW1iIb+/NsUbiRDUO9Ko0hZphVvVhkUBcuX2kqra3s5jByRjbMFKvHPT1mFGiF
BYxSdlf7RM1nYMxckqBtWBMR0cr3k2m899GENq77T4waV30vHtNAcl+pw4EtxxAxT6JRbuLJttMr
2wuDPt/44ALRwjlcuUPvAlOk0CsY7rnG8OAJEwEpOPt2f53P3kkU4gg18NDHyVfXKBdcFSCeBAXK
CapilVYMDdvknuXkjTdpp1w1R5zZD97gb2KRnZNYDyNOMbd0dpneMxcNJoYsUJ8IHTOi8l0E5Hhn
FxE6dL0rU+sJG/l7iXRpZOMuK+R1koinehIhi5K9U2XR1rCGTVGZB98tN2nd3BAS2suhfwdb8TzZ
bLMp2dYS7ejMPVjN4Nmdq2eWvAeWvk8Qn65sS1t1dnSb6v6m4BZb9M49RXXHMfJXlaE/pt3Msq7e
Ua2yULiJlnz+56HWw5wGFhZVaEfKAy0gyB/41FJI7kNdVYW5UWwagVSRmmtMzBs6LIFbmRIcmLwm
oH6GpPeaXRCjeaUeZKVuxuouaN9qy3ryNHEzSv/FRqJIvGE7sPeLaC6EaIUXQXrvjs4iInTabz2n
ilUVG2Xl+8hNXnRL7GwwrJnWM4ks6C90i0XORSWH/K5tnEfSletemhhDU3lvlcZ5oI2jleNH4RSX
yWB55RbRfq6QbZP5q5+NLaFJkL7mkpqXHT6WfRDRFm/Yx9yNnwxgr26OeG3Nw3JstMcIWBTrungJ
nAj4eBWhyVMwOLVXQcCMc8atu4Q2dKTY5YY2Yfg73n7wJLuqPttyAWOw6K/Ner6QRteysZZDEN3M
Sn9NiuqJa7pnfzB/Tr5nhaYdH0cfgPYFHSfyIl61rMCDNPtIa9CCjfUFQvcafB5I0vpKlnBva40U
NxannWZlGaRD6fAzEt7SuGcIgkNsCxqOWA93JOEMjMuDfd0aryxoGS81zX3fqp2jotMQecZicoKT
K8Z30kBbsFDksTldFgb3NNrXnGLrMabBmncAudfFJfhGBmy4aLnw8mvHHl6TyrorOushHjjA7HjJ
1/naxfOG4FbKx94vzrISd1phQSpWr9D9N2PV3ECZ2LV1fvJTeaU1xvMsgg+kBQCHXnFpwezuLOfM
SO+6yPOTHQybzEmuwLYeaisnBpyu2xhOWc6ZOpl2OPkOGEcHHboAsszk523S5BP4T6oYqytzrq4b
33meWL2gKByZdfl47xBl6BRcGNQmLozcdZd6Gh0HATEPzfQJvWBF++Y7Qc7Psk02lOjsJq89MwZ4
iWX+kHv5CwaelSpF2EOTBc+09KwopDx3Obn90kUTAwfCPZo5ESy/OLmpfWPXdsh9Ut9l6XDrJC7w
6SCcvfIEnHFReF4ecpGdZQeW08KE1yfme0UPcDSloQqa9WxOqB3dN+yGoR6LTR0zDTJleyTX+OwM
06sO6c4pjbvkcvwlSzDhQbNP8wYhvG+fRtmvp7Zbkv7XFg0TCgjT1ToXBJLgT64irbxvRvFAtWSw
k5a+q5WXL7v0OLbZW9awZSNEhmSfXFWdRY/0qFfLzig/etihwGuW2NEOMTFtJr9Xyp7up47SiACi
rRznvQSzjMJkn0VKWNjXQ7+Krn2N6W5g7oLO3lpSrrLL6MCruOcr2nIEGDn1GFTZLcRl7jjJXZ/X
6Rou2aYxtLvIYM3RowpzD/+qTCB+FcgwLcg2rhe/VphiLaXXC13JR2mDZKzdGD8Oh4BdwUFEU8lt
pP42wHxLxJlCKXsR6ePKMj3v0LQmR0zk9apzpVilerfrGS9lyrly2C3kg9ktYrYClsyZ7rh0so4f
87B3gzMb/rXKWAbkK2WymaKSNRhIrldVTv35as6jrd04V4OVrrsRRrCsXs0YLM/svjcyDyizDLJw
1ic6uL21axGu9kPaGt9rR+PdR4wuVPwBsNu04kdarJd9esdHeU4uz1aKjTcjk5W+j65gsL95pfZQ
zMYRANwW/v+9Pxc3lY5PWDtB49nhzWKkMOPxUTNUirfUMxFhSK3plzmWA0Kc0UkAhGQhs+SgV2JX
6uM978ldMIrc1IO+7S7t2dX7ODkPNTfqRZfgGmmuRPF10dpqFd9KcDJlw+3b0g9BWi18N9tX1N3N
gfaeNMlxLLuNRLnICHgu4VMsoZAwYpWvSdu9ZpY2hKbJTMrV5GcTsUF1GF04onoE3vI1SMii3MCJ
XMut4PvRp/7bnFzsUmjIOTg9Tzj3VsLOMGA6L1JQ6dkQ2rLkKyI1N6lpP/ZPU5lu59a9qTDyrjBl
rICWLHrfPqimPHZREjpoipRkbW17/tTbgM7PKT0g6NwbTr6rvSlUkYD1mbeL2tNvbRDTC5b6Cezg
fhF1LNwKHgljoJ9SIYZF6yHq6MbRJPyxiAfrkOnzazIaV1M1IivwIAOJgYaVPrfBqWajy8PGd+ZT
lWYbfRyBKA0dNgC7XiYjtxdS8AU4OswWltVd4wSgxtxJdmBXrJVTBc4is9nQF/H05RT1I9jDO9tR
w6KbG3/BnPuBTmFu9aa48ax0T+j/pnVagn/uYcA1Q0tAdTPU44cSYttPFkfY+NBLtdbg6nnWfByN
Hk5v1d4lpXrO1Hya7fnZdbax0vulLvwDPFOU9OS9ThBMNeOVsN4VNptdBoebVCT3OciXiwtZgN6A
A+ULj3UCLRC/1zLNk4Mjq50z23snZSXfyp3eqk0iiEQGyQOh43WOjBy1bNpsQOtSMz79Bu+bFQ5D
le1MwRqTIpblbDPrgNe9aCFt1anGtogFWNTLx1TBMprqmUauidyhlYMpAEzJSDKseMeWoG+5d7c9
ZM255Qldg2sELC3nNaveRWHab2Ya4deuJxDIkglg7AXXQ8wg27GnK4DKwLRhjg7Zaprt7Ty2D7CE
o4WnsLaQxY2Hfjvg5DD1dAGeGv8Y5vv91NsotglHtu3TG1iszcpi9qDZ+oOCuTBo0yNbtiXR222e
9KucsO1e79xHT2ksDDwenL5eLuJo/uw0m5v3vIHbxFCmvYnqrseBMTNAY/jvjGoJAzMUVc4lUo0M
qzCw0KS3iC9dLCwslm4f309ae9bZfOW5fzQ67RGxyFg0BRRHGRTPKU0tKplGJotFCNcaJ1Xd0WDs
9YsxKk7U1GyHiXtAz7Sz68d3R8pny8SyMIqPwkTBGZoX/+LBH03noRQuz0GXF4nr+NR06bBuGzTH
OenOWmlc2xfHHFqn20I/nnDGh/6cr+0JrmPvdCETvQ8YkXskTuRET73HSXmld8YXk++nPrE2TSB2
XEKoGkw2HSCwcWSs3ZauBSwQ2xluyMIZ4tCMMdUksemCUmQVT0k2HH5BcXTJtNClKDudK5bpFo0d
LufkjIvDi4ttzq5hl3vTF4Xg31SNGS6AF3+jjx+japc+zn/o3DyuF1507TjfjG4168+6v8a/sPCN
t0ZLuGRwdDG0mtpVbL5E0Hab/omyvUWjfWKrW6VMM9r9mCLtU5uOx3zp6OXS7g8ULi8iazOR800y
fdVhupzWnoiW/hS6EzKmF/bcQGpcCTOS9dnm0czMmQURbiV8c+mllpwbJ625EK49wOnxuxBvM1p9
iqQxmuOyYRNjpnoY2Hdzfev1W7CnzHAaBIW1Mh/YW8bpC3W5zJuxfw9hkT4p0gV6kF4PIBdoKCB+
sMsyf+XU/akHIZKM99XMnfSl9V18AevODy1qws1pW6ASTAp9+hAjwmBjQRp994bhJIcPP73vB3z5
1rJUsH6j3cwZ23WvszctswzUeWadFOsfOzhTicetQj52ikcbHeG2HJlcZleOeJ8oG4yHT5EZb9Hw
EWHwBuXdDOVqjvcgwWm9M9Zjxjn7GnWnCCtz4tKVSFojCJp3ARlAbzVnwfZiOY8HX7Noz5ZnnhYv
rZbxNWCqHJmU63a9rRwg0CMWSQVmyoeojb+NWZd5Qlgg4eCebaDmQeVuKd/ExyKDfYQfUZvZsJgp
26P0kWts2WduyjmZAifEQyH1lVdd+KXZ1io4AVjaTxR6RCzCUSAwQ/ghPZG3xZiuy/6u7tEqZjMs
ZrGahA8tW89uYky5k5FsGq1C5AEm7gbXEbUSXmLt20sNgVdAP40WTdzfOTzgJox9WDZC3Y+wJhW7
jCvcN4FrXSAGCSjBmOkPe8ZdgLO8iMwHX8zcUtz6VLs+D4Omp3IrN18oun6vUovt2kQpAAVyC+wL
K5Ndfj4WOF5hazd0cfLk7DBM9qilA0hGcNALk/bTf6+qdMa+mo5bJy7eBHR/t7Qf/p01YEnhqEFC
ySc06It9Z6R/ktv4vaPcDQJK1y50LTbeP0ZHdOoP6j5Npm2FMXraSvEntvnf52C+jx1cfv6bwEaq
zCZz4XluyxcPBu17Nobxn+Ssfv8RPN8k4mjhygc75/8QgILUgzeTgpktXx6IRRYLP5vu/9+k2P8/
zKcD4WAp6xLw+Eeh9KxN3pL0t2H0X//crwl08OGM2qFdEI+75Mx/TaDDQSMNAd3UdKBw/JpAd35i
M+HQRXf5m1I/sgVtpbrkP/9mWj/BP7rU7xFap/aB2ve/kEB3/N+nFEi4kwMhC+F40IN++N4zs6+c
WnfZtFGZUbpcl23G86npnl0Kf0UBQX328X4Q1ziQmaJ9Mym+YtoVSAK368mmsnSuDPoXxIRbLXVR
eOthM1lzsgMBtbTb6KA0hjxFqdCddPAMffEok+kbRQr7qYAhHDUYK+uqUeQTpi/EnK3AjExAcglU
jIcLPma7d/NV5D30wb3txM+J5kGXphPLHV9Gr/tCobnHbuoNXdho2r6R5qmjIchQ6kbC+9v3zWWI
G2dF2LetvQwyayoWaafHu1LYBej0trukB0xWbCuDptIzmMDJJo1v4mRHvvloI21emzJP16rIvT1k
DeWsqANy6SJKm/IcTQPugyCaP/TIMD5AeiR3tuxdgQVa1I8M7NSKIpYinM1W3KI6mTylhX5DI5LF
rA96+Hq2VbGhJ2g8ZZmHbOea8Q2WoGSl5j4NdaorNnxVxqppzDNzvkMg8oOwWjIsJ9cuaOFgDZ7r
HX0cTgFAL0h9bEOVouAY09IMolRvxkfKa0hFmdi42+Bc6dM6ctxd1DdkAB4K23+PlL5wsuQm1j7S
6d7Oop2fukv0Nx7upsGmMGWT3dWbOZ3PWTNc69ieB3d8Mlh4kys42MZTk5b3uJDiJghLg7u3Ydyq
+FNWSRgFj5FG4J319iqmgtgvKTZTj3rqXiUdfg/7w7P7sGeMymqY6h0g7spaKzSxlAlUNtsbb2ii
VZzclTHzt8sjxQyFnjyXg7brgqheeFNxo1yWL8380NC5uRwY5LeqXqm4eSygmeyhvm1g8S8N49pI
pysxGzyAuy+7tc7sWezx3A6E+h1Y2pPxxlCLnqxxXWvGpmCW3Gg0CXs+8QX1iKvhmPu+tpwFZSyx
QTeRhcVz5zvcm2cB9TYZCRbRTLUY4/EoWpb2M774LjPSbTyJkzX6p9FvUVsK+S0PlMXUbTCRw9ud
1nnfjMvFlaerwPmE5vRhmF9C03u0/XabpN4m561InCWBwh1nEYEZkiFb6MXw7HfGtgwaBs3WXVBr
x8kyaFzLaTAbCJT3NHmnRbSG/o/7L+9fowxfb8N6KmZ2hDruXcdaEK1k5lXsoP0Cy53P6aHNREpa
SLOIJiUBVaftok/cE+YC3prLSMDP3umn6VnyWNlG6zjxGN54yzhrrcVMq0YIbpH7S5IQPvFnotaR
nWygLPAulGPd1kPeb3QTdp0W97BdMHsjYk7dV2kzpKH4vLpiZJ9eG7lwuCLampFe4m+Tqa6+crpI
5GJEIn7H1hVR0lxXLPJthguZXRhhPAQdliM9PbpSFyETA1w6M8N5RbT2aNV5sKNKg93JZYsxFGN1
SmqjuRusiCXP3I0nZEmaQQQDAL2Ih7AutGZdtS3rGWGywKxpmls1CRlpNIz5AU8+yB3iBDccnm7l
0hjyklOkvSENwTqoIuV/7JHTw3xifYauy+jPavqQuAxaSAH4PvBFHgbYTK/boZhXeR6lK0sk8qj0
9lM5uAYs5eprJ9K6tcE7xBuIwhDweft2GHalP5gnZthgGNjZViwcfWaWMaTiV50MRZipGoq48oLQ
tbQdCfcXi/g5LocB5xg9cBwIEFQsIIP7SNOcN0yY6ujqhXtuYqytc4EoPuMHXkqHQUVhT/0O0i8C
eoaf3k4N6xr738G0mKNYpT2FXqQV91YcRbsgs+ej52TcwVpdnStTT8SSux0m7TpN/WVlWMW6q2rn
Kw7gRxd2B4wtC9qV1VxUdqpeFq11crqR0pmGdJJv41BWU4czypZQlPRK3hqRM6EjKO+gmWyuqaF/
YIYxh9A8tBXpzXQx6vLQCW/Dg8wINRUzbEFCThtUtBxAxyCNeJnTwBapfScN/6rw55VKOmaFmrcc
2Nualb60+a0c8zJ4DQps/1VsffY4sBH6gmJpiI6AzdjnoV3rFQ8u5DKrqOq7LMY/A58ZddKKnG09
U5ahupZeFajvPBc661Z60Njs3tGPInIs2vnkGUDNsmkYqudxwMDP8rpNmk/Ud2hUfwVT/FDNuD90
zhcmvO22V3TZpcO0cOB6b3HuU6Lj45cUNAxohvmk5RMf1WJw4Ooi2cgRXT1w1GcnuI84yEgVT4Yt
N4BsMdJ9p8bqOguoI3ETj7V/ijerHtDrWtnnx7rV7L2ip29rjeZLF5wYyNZh3+loXFb9iixZHOve
ux0Iu9kkBsivMPIz0Y+k52nrLvGNp3nMu34pInv+lrt48hcUwWOtoaZRpmthJnSCkP9heGXTSzKw
J8GeQBzMyyLPCQeZlWIto4jNkxMF0FNgkDiHZJ6nK4hC0GHGyi/3sFc5IF5X8l8jgS2rMw2xJ0Rn
s+PRGdvTmLBq8C4tBAozhSw2S4le5qdAMtCUXMlhK035zYjiCA0P77pY5mSO7AX1BC1xMCOlR63S
ewjk1dzfBXKoaR2sgzUFauJaBWVONsKsMS8oC3vNgEvGVENE9isrsdO6812S+qUXeq7N5nE2ZOpg
+JmTV1H5zY0v+yk00s67afzYw0R2Me7W6PL1mN8Ybq1OGff7D7+m6ScpL8ZwWfgnk7aHb8FIjeyQ
DvWhKxNn2wY9cE20kQ4ErcFjYR47ijAKnnJOhASWvF1GoK1xPVU8ZK1hWZse1fENwyp9pWrMWFVt
XrOWda5TGV9pwhuXwrFPyTAgctYegqwxXub4w3q0cSJN/MvoyW6bKmEz4Egxg1JUFRVFfs4ymYeK
c+zVz91z4jYnd8bn2RWJtqSke0QVQmFDIvXwHvZ/GSUEnQQKHbdlG3g6+d3v91RxjjOD1Bu9vpG4
RUi/n+NiXwZ/Vuzwu30Vv8a9lHKDYDIdYuPf/xpGre7QjJQJVOb8kTbWHj7P4282HTf/N1L8W8bT
JXT+fdCYmtPLtjOgxPCylfj+V5ReYeZQfeS2jfRNZmBRk3K+AbH2Z6HmP/tFP2xDh6qatTIa6ePu
0hfmpadLd3BFtdm/9nl+OGSdlrHKqvk1GBf0RVd6u4YCPTtX3p/wYP7ou/m5lBssNt/Mjwnt2KQG
iygAFHK4cVdT3BmHvh1/oc78pZ3vfVXwz398t8/9edv27c/hbd8h3jaf1emt+Gx/fKnvXrn9r59/
HH9Wq7fu7bt/oeoIks1ZfTbT7Wer8u6/N4+X//Of/eG/ff78KuCiP//zb28ftKKsKI1t0m/dH+yE
OUn+/g76KlF5+fbHf+p/9s8B8XkQIBYMM8gLXKf/s392qF3QAZobl3MeDs/PG2T7JwNAGFRoP4Bv
Co36172z8RNXOvAwx9dd4AOe91f2zr/DW0CuN0BeWTbSO1u9Hy47TWuklxtOCZc2Nm/ZDDjNxhYO
83ACKawv4tlvdsjq2Mp+c4j+4Hr/o18Mx4k2FD4Mq/8frg+3ZHOnDarc6salNU3mWFiWLd4ZdRqU
M+8o2HWPKeGVP4GtXi7v7+8zEOQg6XGpoBigF3x/n9GCGX6y71Q4LzCj9EJEe0IZzna0KueKEL32
/o8/J/jHH34jVjIwRpRr6NgN2WD+8ElLwGYdS1Zt0xNv/iTeZ0VQMsf+qJsslDEZ9v1xbEqHRLNo
oqU1RQWKKl1/GzPqnbfOioZveT5qVO1OJG/L0SU1Z8X2HvP8xCJdYGsoY4Nhk9E1wUEjEilWBKjq
tZUO1LC0ml9R+Kw0+y3IE0L7kaNHrxTUMgroCkWEKavqz6FQbF4Q6BnSdRG9YG6vRzmJhCw9lZjS
tjMhAVS1eSZ1b855cAiMNI7Cwp/gYwnBISy0pMCxxspHruyZ8vRFa7uEzvQi2LQp2zpXqvYD0vt4
K0Y9eMywS2wJ33IQBt1Gre/SiRBza1n9pmS3tAvGun4BYVW3C4veM9gSuC8ujjXfO1derm7yqirL
MO4stTdnvfiCsDOFxei2H7g5nDcvz+gX6mOjPxpR1WzBMfcbrSD+FRSR14V+gAfXwPE1sMcLSGYn
E9HYVHeaniFLXbMxmKRvXar+OI61gC8yDRENURnaSCh87F+tNvtrKsAIXg3K0s4dPuv7S6/MuMgE
xbAs+CP7bWwtzDAyayHxaKQ+Ro8QcuAUjOyty6E0k5Fjawo9fxQFzXCsAnussdIA6l6Nl2xFl706
cZwxya6N+kW69A4ywhw4Gn7kV9e+X8f91qhVfpVHAaeK6jjgDJMoHGRrPVc7w1LFmW0BCr4QbroG
3obH3RnrF8EJct1GXjKt4AfzDUrdtXYZgaacqk2hW7emqunKtjR5SAn+ECmWqXGKdBoTqR9wxM1A
UcK+JDjirDGSUDgZtKZiIkT6OGa4zonb2j6Zwty3T4YshmxZq46TVI8JuSyNjmH2BpKLYYJvGboH
RBnziSrYpt1EuYU20EWFTrve4LXWKpZGABlnzLKLYpHY+7mWJETzudbf+yDKl/Sf6/W+n1yOKHIU
n7/1rAmHbOIruoEK2n9WQdzw1SC6Rxjx6qC6VgRnnoUz+bfCboJNhKuFhEcMqMtga7QkmKvORpGY
KYl7Ql+is8tiWRdG8YXNpd8o2+foGWNX7Rq/LAlazBHF5xRmbupUXOZQSVe/gPer137Kl5qKLj0V
oHNxDMZd9zBqNVccpQbFmapqTveGlColtEYK5kNZDbnKIDl5VH9cmdFQr9mJNFtNwe8zvEYjm1yb
2asm++7BmHrjBBSXYUfSAE5wkmT81ltjtfPcuAxnsu3vnesUyQoPneYilFrOFT6Ceo8jE6saZ9+i
bCpOlTgab91KFuYyIv4RhZE1AZOaZ49zKc/LiDR9no6bKk4GasorjcRfJcfozmdni3GjYu2eCWfp
p1m3roZuPuushhhAT7Z5H9Vl8VpqM6Nqg83aA4K+9o3ISHHoiqHfxJqyTzI2OKQxVx0l6B0nTtM0
TwmRn/YiDMbnxNCrd+HqDdZNciK9G+HgkWh/tErqjC+DbpkU7fN8eSQvE2kirwwKqzMGeTNM3Qih
IZMPngV8pFOac0/P9/xozQrkAwcluG1bhiAG886Rb6NiuuNH0d5PcOmKsdtWqawPojU+6SPPb5kv
DrTaTtOmn6VH8TBVysRsKV4HYvAovdi5Lmc3D92u6Yn9N0whaZkY/dx7ly195DQfsG01AW8uolpP
Qr2to2tLjOYGkne2iy092NIZXK5GzL/LpCzZ5OiSQR+IoNepRCslbfKmMAov/NnygBNE3k3mGM8S
j3vSdM1Lo8fYDfrqLpJmv68y59NME0L4klF6k1N95/HB80XR1ymJTqMoyIflE0kmL7c2vWZ2a28a
mmrVcVoggZXTNcLNVwQm8zjSc7zKcdSsg1HWD2L2V4YKurOjD9YK2AF2vD5+i4hRbdKEtCyUNY2a
HEUVV9QRfInYbW8dHD8vIvVJZ1nmyWts+3qMZjgMc2wpDBE6XJoi1vpwqkl14btM97VD5wHj4E7D
CFfW3YMnTSNbw4ecoGvE2oLyEMRP09QbcBOivvFNqdZB76vHjikYlC3D5its8o0X5LgRLGWJoyYs
uR8qe9r4eaZ/qG6M66VTlalP/WfDzTIwnSt23JB2KiMvSJHHZjzyq7x24xkVg0Q119434tIBdKAc
1441SX3dd2RqGD86xSobU3xAuCST66ntaX1M9VU6Qyu3KS5d08WrjtRF0jwyEeObW5umvNIaQzsv
zqNnHC+wbgaTDmXyDuEwh951LlAbvdK/sIey9Mq12d13bnFtRLqx67WY5lNhxtjtCJIF7UhC1bPB
weTJ0aRtV+9t3NL6SE1NhJgYVjzhnnyid0vNtkh6Br5cZwnWMUfjp4AlcRWmBD8AQKluGdQZOgxm
zo3hxtZRlZ35XFK+REmocATA8NyLPuqYvCG57degrotwgOKwUHrg7Axd5BCcjCviF09Oni94ZqFd
+XLkiigzwAXWXSrVg1d47T2nOYP8om1XuINm1Noqe3Sm+iuHXfWcTczepcqpoGZIfEt7LISBhARM
zsjnvWpFcCgxO9wZTWGsOr1/cC8hMK9W3tLEzLYkyYQqUPNE33fZCN/B9GDGO9TSk/XPQEyJaiRG
V/XPieRZF1SBsbI6p165vhbv/dRvee9dGlo6K8uq9gLIpzho4moCXxQQrgpdDRtpkvjBmwdT9ypO
ch6hoLmvUKkfUx/Dcz3QutlUPvZlxsT1elZjdk0NibEy/Mi+KtIxPWLCx997KY7z1UhqWhgLJ25w
6iVWshupY78lYwNcqtdVtRAtEcyYeSmQKFYeMT2Ld2ZGIrtCvDpTCzVoC6gXaEozDh8MRyp9o+30
fWC4ipu4rW5KkZK0c4thBTU9psGcfjZt8Nmcl4bmbbMaDJZS88iQm5XAa8ciaqd8B/9Mn+DrTMW4
86vYwM+ju2sxC3JtmjMGZHlT2Dj23ARbBxfMaxONLhvlGilYD8YQwnv+NFcXAno78Nqllz1ZVcV6
JqjHXT1GGNwccYiolMWJpElOmhHaegX0Q2vcRUD+MSFW2fRvlldOEpEr74mJGKo4QkvziGhpAS7T
yV24MsnhMDHwp/h4Hq5bYZaPY9IN2zwq6/vMiAUzlnJaTlovSJXzsL8SLv4CFoyXFUxP1LDdusB3
dX6LyRLSckf/mJDPOEw6XeELRivOlexkcM3a1Hzq8R6wum98ynQVKxycGDQHkPIbYvFqBzmPzqzB
+jB7g3EKwGg9mZU/3iZWRMhT07Vy72lj9opewWtRnXetyYiUyix9YgQ50h3sEMmquij7IyAQlpK1
WbN4DSqVvcIV8G+NenAe0BsR/YOxs4ENGfYvetFfUgv+Lsf9OyngX9EU/gW54JdP8od6AcIDb/EX
3eGmSsvuvvqdqPBP/U//+IX+SQHiQvC22KP/Ztt5eds/v7GfJZB/9Dr5G0qJ+kDhMM2fbIs5PZWg
cN8vf/3t3/KqjH/5caD/hM7gIgT88mN2qSgevzlOf+9I/OMP+Xt95vev890H+FbxjLjoOvEPgHyT
of93GszfOQI/vMBvjgCmAyqfeLD8XDD1R0fA4QD4IKN+/ot9/P/KEfgzLeqfPA4/vMxvjgNnAoIh
IvwfnwkGbQOmBbH2l8P0v3Um/B/mriAHQRgI/sUHEBC0XuCgHvSqL2ikESLGpOHC0b/5MKctBQoV
MfUAN6Vs28nuFKfrtjcBJdcd03iBDA0ZElBCpzhEz04HiMgj0L58UatcXWZIQGhbQ84JI6Hg4Jof
ECq95w84+AQlznH2lgmA7wVL5A+hgKsCAGk184oIEqFqP8RT1C0NN/ixA9HC1SdWHoRaTDcgNp8Q
hWynQjCBO5tVBH/dL1K5yOQM1e4aYftrA82+QwM1q4qAAXUa7YTmrSyroBKfEyNMJPF3buqFQHZT
P17Pb9iz0ZeelP7ykDNOOU4qkjeqepRiOyBe7DJalo8rp3eLmA7aawc0UOwbIhizv8/ozabTI4Bc
TZ/oaBbd562GSQMf3WFwtH2uioyZex4tv7rCsqUoI/l6FhrgLn2DbFzN/36gzihYNo9u3oGGfq7f
bWyPmTEsWlwKRnnyBgAA//8=</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10" Type="http://schemas.microsoft.com/office/2014/relationships/chartEx" Target="../charts/chartEx1.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13</xdr:col>
      <xdr:colOff>464820</xdr:colOff>
      <xdr:row>10</xdr:row>
      <xdr:rowOff>53340</xdr:rowOff>
    </xdr:from>
    <xdr:to>
      <xdr:col>16</xdr:col>
      <xdr:colOff>464820</xdr:colOff>
      <xdr:row>23</xdr:row>
      <xdr:rowOff>142875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9F131B5E-13AD-9399-1AE1-74C419AEEF5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988040" y="188214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403860</xdr:colOff>
      <xdr:row>1</xdr:row>
      <xdr:rowOff>121920</xdr:rowOff>
    </xdr:from>
    <xdr:to>
      <xdr:col>7</xdr:col>
      <xdr:colOff>609600</xdr:colOff>
      <xdr:row>6</xdr:row>
      <xdr:rowOff>91440</xdr:rowOff>
    </xdr:to>
    <xdr:grpSp>
      <xdr:nvGrpSpPr>
        <xdr:cNvPr id="4" name="Group 3">
          <a:extLst>
            <a:ext uri="{FF2B5EF4-FFF2-40B4-BE49-F238E27FC236}">
              <a16:creationId xmlns:a16="http://schemas.microsoft.com/office/drawing/2014/main" id="{CEA8B822-DAF2-0FF7-43CD-EE6C27634E83}"/>
            </a:ext>
          </a:extLst>
        </xdr:cNvPr>
        <xdr:cNvGrpSpPr/>
      </xdr:nvGrpSpPr>
      <xdr:grpSpPr>
        <a:xfrm>
          <a:off x="2855512" y="304137"/>
          <a:ext cx="2508305" cy="1112520"/>
          <a:chOff x="8755380" y="1127760"/>
          <a:chExt cx="1219200" cy="2682240"/>
        </a:xfrm>
      </xdr:grpSpPr>
      <xdr:sp macro="" textlink="">
        <xdr:nvSpPr>
          <xdr:cNvPr id="2" name="Rectangle: Top Corners Rounded 1">
            <a:extLst>
              <a:ext uri="{FF2B5EF4-FFF2-40B4-BE49-F238E27FC236}">
                <a16:creationId xmlns:a16="http://schemas.microsoft.com/office/drawing/2014/main" id="{BF35AD2C-56D4-A2CE-AD62-F726A8AE7606}"/>
              </a:ext>
            </a:extLst>
          </xdr:cNvPr>
          <xdr:cNvSpPr/>
        </xdr:nvSpPr>
        <xdr:spPr>
          <a:xfrm rot="16200000">
            <a:off x="7894320" y="1988820"/>
            <a:ext cx="2682240" cy="960120"/>
          </a:xfrm>
          <a:prstGeom prst="round2Same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 name="Rectangle: Top Corners Rounded 2">
            <a:extLst>
              <a:ext uri="{FF2B5EF4-FFF2-40B4-BE49-F238E27FC236}">
                <a16:creationId xmlns:a16="http://schemas.microsoft.com/office/drawing/2014/main" id="{9E31CA96-F600-2F25-40D1-FD5E6ACF474F}"/>
              </a:ext>
            </a:extLst>
          </xdr:cNvPr>
          <xdr:cNvSpPr/>
        </xdr:nvSpPr>
        <xdr:spPr>
          <a:xfrm rot="5400000">
            <a:off x="8153400" y="1988820"/>
            <a:ext cx="2682240" cy="96012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11</xdr:col>
      <xdr:colOff>589280</xdr:colOff>
      <xdr:row>1</xdr:row>
      <xdr:rowOff>121920</xdr:rowOff>
    </xdr:from>
    <xdr:to>
      <xdr:col>16</xdr:col>
      <xdr:colOff>71120</xdr:colOff>
      <xdr:row>6</xdr:row>
      <xdr:rowOff>91440</xdr:rowOff>
    </xdr:to>
    <xdr:grpSp>
      <xdr:nvGrpSpPr>
        <xdr:cNvPr id="5" name="Group 4">
          <a:extLst>
            <a:ext uri="{FF2B5EF4-FFF2-40B4-BE49-F238E27FC236}">
              <a16:creationId xmlns:a16="http://schemas.microsoft.com/office/drawing/2014/main" id="{C2A76870-9C33-CF7F-2357-04747B3A3BB7}"/>
            </a:ext>
          </a:extLst>
        </xdr:cNvPr>
        <xdr:cNvGrpSpPr/>
      </xdr:nvGrpSpPr>
      <xdr:grpSpPr>
        <a:xfrm>
          <a:off x="8292106" y="304137"/>
          <a:ext cx="2546405" cy="1112520"/>
          <a:chOff x="8755380" y="1127760"/>
          <a:chExt cx="1219200" cy="2682240"/>
        </a:xfrm>
      </xdr:grpSpPr>
      <xdr:sp macro="" textlink="">
        <xdr:nvSpPr>
          <xdr:cNvPr id="6" name="Rectangle: Top Corners Rounded 5">
            <a:extLst>
              <a:ext uri="{FF2B5EF4-FFF2-40B4-BE49-F238E27FC236}">
                <a16:creationId xmlns:a16="http://schemas.microsoft.com/office/drawing/2014/main" id="{1AE24ADB-AEB0-6BCC-5EDA-160A2853DF50}"/>
              </a:ext>
            </a:extLst>
          </xdr:cNvPr>
          <xdr:cNvSpPr/>
        </xdr:nvSpPr>
        <xdr:spPr>
          <a:xfrm rot="16200000">
            <a:off x="7894320" y="1988820"/>
            <a:ext cx="2682240" cy="960120"/>
          </a:xfrm>
          <a:prstGeom prst="round2Same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 name="Rectangle: Top Corners Rounded 6">
            <a:extLst>
              <a:ext uri="{FF2B5EF4-FFF2-40B4-BE49-F238E27FC236}">
                <a16:creationId xmlns:a16="http://schemas.microsoft.com/office/drawing/2014/main" id="{02B50D41-E7CB-54D3-0C2C-26C94C146571}"/>
              </a:ext>
            </a:extLst>
          </xdr:cNvPr>
          <xdr:cNvSpPr/>
        </xdr:nvSpPr>
        <xdr:spPr>
          <a:xfrm rot="5400000">
            <a:off x="8153400" y="1988820"/>
            <a:ext cx="2682240" cy="96012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7</xdr:col>
      <xdr:colOff>751840</xdr:colOff>
      <xdr:row>1</xdr:row>
      <xdr:rowOff>121920</xdr:rowOff>
    </xdr:from>
    <xdr:to>
      <xdr:col>11</xdr:col>
      <xdr:colOff>302260</xdr:colOff>
      <xdr:row>6</xdr:row>
      <xdr:rowOff>91440</xdr:rowOff>
    </xdr:to>
    <xdr:grpSp>
      <xdr:nvGrpSpPr>
        <xdr:cNvPr id="8" name="Group 7">
          <a:extLst>
            <a:ext uri="{FF2B5EF4-FFF2-40B4-BE49-F238E27FC236}">
              <a16:creationId xmlns:a16="http://schemas.microsoft.com/office/drawing/2014/main" id="{A043D6DE-F5B2-4C28-08FC-C1C8B5BE23D9}"/>
            </a:ext>
          </a:extLst>
        </xdr:cNvPr>
        <xdr:cNvGrpSpPr/>
      </xdr:nvGrpSpPr>
      <xdr:grpSpPr>
        <a:xfrm>
          <a:off x="5506057" y="304137"/>
          <a:ext cx="2499029" cy="1112520"/>
          <a:chOff x="8755380" y="1127760"/>
          <a:chExt cx="1219200" cy="2682240"/>
        </a:xfrm>
      </xdr:grpSpPr>
      <xdr:sp macro="" textlink="">
        <xdr:nvSpPr>
          <xdr:cNvPr id="9" name="Rectangle: Top Corners Rounded 8">
            <a:extLst>
              <a:ext uri="{FF2B5EF4-FFF2-40B4-BE49-F238E27FC236}">
                <a16:creationId xmlns:a16="http://schemas.microsoft.com/office/drawing/2014/main" id="{75BD8174-6798-025D-870C-B94372323183}"/>
              </a:ext>
            </a:extLst>
          </xdr:cNvPr>
          <xdr:cNvSpPr/>
        </xdr:nvSpPr>
        <xdr:spPr>
          <a:xfrm rot="16200000">
            <a:off x="7894320" y="1988820"/>
            <a:ext cx="2682240" cy="960120"/>
          </a:xfrm>
          <a:prstGeom prst="round2Same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0" name="Rectangle: Top Corners Rounded 9">
            <a:extLst>
              <a:ext uri="{FF2B5EF4-FFF2-40B4-BE49-F238E27FC236}">
                <a16:creationId xmlns:a16="http://schemas.microsoft.com/office/drawing/2014/main" id="{7A17FD31-0148-F5A0-A649-4B72C6FFA70F}"/>
              </a:ext>
            </a:extLst>
          </xdr:cNvPr>
          <xdr:cNvSpPr/>
        </xdr:nvSpPr>
        <xdr:spPr>
          <a:xfrm rot="5400000">
            <a:off x="8153400" y="1988820"/>
            <a:ext cx="2682240" cy="96012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16</xdr:col>
      <xdr:colOff>358140</xdr:colOff>
      <xdr:row>1</xdr:row>
      <xdr:rowOff>121920</xdr:rowOff>
    </xdr:from>
    <xdr:to>
      <xdr:col>20</xdr:col>
      <xdr:colOff>449580</xdr:colOff>
      <xdr:row>6</xdr:row>
      <xdr:rowOff>91440</xdr:rowOff>
    </xdr:to>
    <xdr:grpSp>
      <xdr:nvGrpSpPr>
        <xdr:cNvPr id="11" name="Group 10">
          <a:extLst>
            <a:ext uri="{FF2B5EF4-FFF2-40B4-BE49-F238E27FC236}">
              <a16:creationId xmlns:a16="http://schemas.microsoft.com/office/drawing/2014/main" id="{84FC097F-60E6-3312-B528-5FAA00775029}"/>
            </a:ext>
          </a:extLst>
        </xdr:cNvPr>
        <xdr:cNvGrpSpPr/>
      </xdr:nvGrpSpPr>
      <xdr:grpSpPr>
        <a:xfrm>
          <a:off x="11125531" y="304137"/>
          <a:ext cx="2543092" cy="1112520"/>
          <a:chOff x="8755380" y="1127760"/>
          <a:chExt cx="1219200" cy="2682240"/>
        </a:xfrm>
      </xdr:grpSpPr>
      <xdr:sp macro="" textlink="">
        <xdr:nvSpPr>
          <xdr:cNvPr id="12" name="Rectangle: Top Corners Rounded 11">
            <a:extLst>
              <a:ext uri="{FF2B5EF4-FFF2-40B4-BE49-F238E27FC236}">
                <a16:creationId xmlns:a16="http://schemas.microsoft.com/office/drawing/2014/main" id="{72A6221C-9CF2-29AB-E541-26EF1DD156A3}"/>
              </a:ext>
            </a:extLst>
          </xdr:cNvPr>
          <xdr:cNvSpPr/>
        </xdr:nvSpPr>
        <xdr:spPr>
          <a:xfrm rot="16200000">
            <a:off x="7894320" y="1988820"/>
            <a:ext cx="2682240" cy="960120"/>
          </a:xfrm>
          <a:prstGeom prst="round2Same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3" name="Rectangle: Top Corners Rounded 12">
            <a:extLst>
              <a:ext uri="{FF2B5EF4-FFF2-40B4-BE49-F238E27FC236}">
                <a16:creationId xmlns:a16="http://schemas.microsoft.com/office/drawing/2014/main" id="{3F866AB9-BF01-8FF0-D46D-435C3392B68B}"/>
              </a:ext>
            </a:extLst>
          </xdr:cNvPr>
          <xdr:cNvSpPr/>
        </xdr:nvSpPr>
        <xdr:spPr>
          <a:xfrm rot="5400000">
            <a:off x="8153400" y="1988820"/>
            <a:ext cx="2682240" cy="96012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editAs="oneCell">
    <xdr:from>
      <xdr:col>4</xdr:col>
      <xdr:colOff>526200</xdr:colOff>
      <xdr:row>2</xdr:row>
      <xdr:rowOff>169470</xdr:rowOff>
    </xdr:from>
    <xdr:to>
      <xdr:col>5</xdr:col>
      <xdr:colOff>396240</xdr:colOff>
      <xdr:row>5</xdr:row>
      <xdr:rowOff>1410</xdr:rowOff>
    </xdr:to>
    <xdr:pic>
      <xdr:nvPicPr>
        <xdr:cNvPr id="15" name="Graphic 14" descr="Receiver">
          <a:extLst>
            <a:ext uri="{FF2B5EF4-FFF2-40B4-BE49-F238E27FC236}">
              <a16:creationId xmlns:a16="http://schemas.microsoft.com/office/drawing/2014/main" id="{513E2418-55DA-25E4-0FF6-C041053C00C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64600" y="535230"/>
          <a:ext cx="609180" cy="609180"/>
        </a:xfrm>
        <a:prstGeom prst="rect">
          <a:avLst/>
        </a:prstGeom>
      </xdr:spPr>
    </xdr:pic>
    <xdr:clientData/>
  </xdr:twoCellAnchor>
  <xdr:twoCellAnchor editAs="oneCell">
    <xdr:from>
      <xdr:col>8</xdr:col>
      <xdr:colOff>114860</xdr:colOff>
      <xdr:row>2</xdr:row>
      <xdr:rowOff>169470</xdr:rowOff>
    </xdr:from>
    <xdr:to>
      <xdr:col>8</xdr:col>
      <xdr:colOff>784580</xdr:colOff>
      <xdr:row>5</xdr:row>
      <xdr:rowOff>61950</xdr:rowOff>
    </xdr:to>
    <xdr:pic>
      <xdr:nvPicPr>
        <xdr:cNvPr id="17" name="Graphic 16" descr="Target Audience">
          <a:extLst>
            <a:ext uri="{FF2B5EF4-FFF2-40B4-BE49-F238E27FC236}">
              <a16:creationId xmlns:a16="http://schemas.microsoft.com/office/drawing/2014/main" id="{D9C8CDF1-CE2B-768C-71F0-C81E780D0E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69840" y="535230"/>
          <a:ext cx="669720" cy="669720"/>
        </a:xfrm>
        <a:prstGeom prst="rect">
          <a:avLst/>
        </a:prstGeom>
      </xdr:spPr>
    </xdr:pic>
    <xdr:clientData/>
  </xdr:twoCellAnchor>
  <xdr:twoCellAnchor editAs="oneCell">
    <xdr:from>
      <xdr:col>12</xdr:col>
      <xdr:colOff>160720</xdr:colOff>
      <xdr:row>2</xdr:row>
      <xdr:rowOff>177090</xdr:rowOff>
    </xdr:from>
    <xdr:to>
      <xdr:col>13</xdr:col>
      <xdr:colOff>220840</xdr:colOff>
      <xdr:row>5</xdr:row>
      <xdr:rowOff>69570</xdr:rowOff>
    </xdr:to>
    <xdr:pic>
      <xdr:nvPicPr>
        <xdr:cNvPr id="19" name="Graphic 18" descr="Handshake">
          <a:extLst>
            <a:ext uri="{FF2B5EF4-FFF2-40B4-BE49-F238E27FC236}">
              <a16:creationId xmlns:a16="http://schemas.microsoft.com/office/drawing/2014/main" id="{62C190D1-954C-9D3D-2D8D-CA88F1F6841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451280" y="542850"/>
          <a:ext cx="669720" cy="669720"/>
        </a:xfrm>
        <a:prstGeom prst="rect">
          <a:avLst/>
        </a:prstGeom>
      </xdr:spPr>
    </xdr:pic>
    <xdr:clientData/>
  </xdr:twoCellAnchor>
  <xdr:twoCellAnchor editAs="oneCell">
    <xdr:from>
      <xdr:col>16</xdr:col>
      <xdr:colOff>572340</xdr:colOff>
      <xdr:row>2</xdr:row>
      <xdr:rowOff>161850</xdr:rowOff>
    </xdr:from>
    <xdr:to>
      <xdr:col>18</xdr:col>
      <xdr:colOff>22860</xdr:colOff>
      <xdr:row>5</xdr:row>
      <xdr:rowOff>54330</xdr:rowOff>
    </xdr:to>
    <xdr:pic>
      <xdr:nvPicPr>
        <xdr:cNvPr id="21" name="Graphic 20" descr="Money">
          <a:extLst>
            <a:ext uri="{FF2B5EF4-FFF2-40B4-BE49-F238E27FC236}">
              <a16:creationId xmlns:a16="http://schemas.microsoft.com/office/drawing/2014/main" id="{1636FC58-DA8E-6B61-B492-4AE02BCDC17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301300" y="527610"/>
          <a:ext cx="669720" cy="669720"/>
        </a:xfrm>
        <a:prstGeom prst="rect">
          <a:avLst/>
        </a:prstGeom>
      </xdr:spPr>
    </xdr:pic>
    <xdr:clientData/>
  </xdr:twoCellAnchor>
  <xdr:twoCellAnchor>
    <xdr:from>
      <xdr:col>5</xdr:col>
      <xdr:colOff>419100</xdr:colOff>
      <xdr:row>2</xdr:row>
      <xdr:rowOff>64770</xdr:rowOff>
    </xdr:from>
    <xdr:to>
      <xdr:col>5</xdr:col>
      <xdr:colOff>434340</xdr:colOff>
      <xdr:row>5</xdr:row>
      <xdr:rowOff>87630</xdr:rowOff>
    </xdr:to>
    <xdr:cxnSp macro="">
      <xdr:nvCxnSpPr>
        <xdr:cNvPr id="23" name="Straight Connector 22">
          <a:extLst>
            <a:ext uri="{FF2B5EF4-FFF2-40B4-BE49-F238E27FC236}">
              <a16:creationId xmlns:a16="http://schemas.microsoft.com/office/drawing/2014/main" id="{61DABF1E-3234-A767-39A4-AA5C21E0A662}"/>
            </a:ext>
          </a:extLst>
        </xdr:cNvPr>
        <xdr:cNvCxnSpPr/>
      </xdr:nvCxnSpPr>
      <xdr:spPr>
        <a:xfrm>
          <a:off x="3718560" y="430530"/>
          <a:ext cx="15240" cy="800100"/>
        </a:xfrm>
        <a:prstGeom prst="line">
          <a:avLst/>
        </a:prstGeom>
        <a:ln>
          <a:solidFill>
            <a:schemeClr val="accent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838200</xdr:colOff>
      <xdr:row>2</xdr:row>
      <xdr:rowOff>64770</xdr:rowOff>
    </xdr:from>
    <xdr:to>
      <xdr:col>8</xdr:col>
      <xdr:colOff>853440</xdr:colOff>
      <xdr:row>5</xdr:row>
      <xdr:rowOff>87630</xdr:rowOff>
    </xdr:to>
    <xdr:cxnSp macro="">
      <xdr:nvCxnSpPr>
        <xdr:cNvPr id="24" name="Straight Connector 23">
          <a:extLst>
            <a:ext uri="{FF2B5EF4-FFF2-40B4-BE49-F238E27FC236}">
              <a16:creationId xmlns:a16="http://schemas.microsoft.com/office/drawing/2014/main" id="{8A33F592-6D06-FE77-6053-EB9B23AD4DF4}"/>
            </a:ext>
          </a:extLst>
        </xdr:cNvPr>
        <xdr:cNvCxnSpPr/>
      </xdr:nvCxnSpPr>
      <xdr:spPr>
        <a:xfrm>
          <a:off x="6560820" y="430530"/>
          <a:ext cx="15240" cy="800100"/>
        </a:xfrm>
        <a:prstGeom prst="line">
          <a:avLst/>
        </a:prstGeom>
        <a:ln>
          <a:solidFill>
            <a:schemeClr val="accent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320040</xdr:colOff>
      <xdr:row>2</xdr:row>
      <xdr:rowOff>64770</xdr:rowOff>
    </xdr:from>
    <xdr:to>
      <xdr:col>13</xdr:col>
      <xdr:colOff>335280</xdr:colOff>
      <xdr:row>5</xdr:row>
      <xdr:rowOff>87630</xdr:rowOff>
    </xdr:to>
    <xdr:cxnSp macro="">
      <xdr:nvCxnSpPr>
        <xdr:cNvPr id="25" name="Straight Connector 24">
          <a:extLst>
            <a:ext uri="{FF2B5EF4-FFF2-40B4-BE49-F238E27FC236}">
              <a16:creationId xmlns:a16="http://schemas.microsoft.com/office/drawing/2014/main" id="{D41AC64D-048F-F7F2-6C46-072FB65D1261}"/>
            </a:ext>
          </a:extLst>
        </xdr:cNvPr>
        <xdr:cNvCxnSpPr/>
      </xdr:nvCxnSpPr>
      <xdr:spPr>
        <a:xfrm>
          <a:off x="9403080" y="430530"/>
          <a:ext cx="15240" cy="800100"/>
        </a:xfrm>
        <a:prstGeom prst="line">
          <a:avLst/>
        </a:prstGeom>
        <a:ln>
          <a:solidFill>
            <a:schemeClr val="accent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114300</xdr:colOff>
      <xdr:row>2</xdr:row>
      <xdr:rowOff>64770</xdr:rowOff>
    </xdr:from>
    <xdr:to>
      <xdr:col>18</xdr:col>
      <xdr:colOff>129540</xdr:colOff>
      <xdr:row>5</xdr:row>
      <xdr:rowOff>87630</xdr:rowOff>
    </xdr:to>
    <xdr:cxnSp macro="">
      <xdr:nvCxnSpPr>
        <xdr:cNvPr id="26" name="Straight Connector 25">
          <a:extLst>
            <a:ext uri="{FF2B5EF4-FFF2-40B4-BE49-F238E27FC236}">
              <a16:creationId xmlns:a16="http://schemas.microsoft.com/office/drawing/2014/main" id="{55F158F1-33AA-7131-C6E4-98F5A0DB2471}"/>
            </a:ext>
          </a:extLst>
        </xdr:cNvPr>
        <xdr:cNvCxnSpPr/>
      </xdr:nvCxnSpPr>
      <xdr:spPr>
        <a:xfrm>
          <a:off x="12245340" y="430530"/>
          <a:ext cx="15240" cy="800100"/>
        </a:xfrm>
        <a:prstGeom prst="line">
          <a:avLst/>
        </a:prstGeom>
        <a:ln>
          <a:solidFill>
            <a:schemeClr val="accent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68580</xdr:colOff>
      <xdr:row>2</xdr:row>
      <xdr:rowOff>49530</xdr:rowOff>
    </xdr:from>
    <xdr:to>
      <xdr:col>7</xdr:col>
      <xdr:colOff>38100</xdr:colOff>
      <xdr:row>2</xdr:row>
      <xdr:rowOff>346710</xdr:rowOff>
    </xdr:to>
    <xdr:sp macro="" textlink="Sheet1!A4">
      <xdr:nvSpPr>
        <xdr:cNvPr id="27" name="TextBox 26">
          <a:extLst>
            <a:ext uri="{FF2B5EF4-FFF2-40B4-BE49-F238E27FC236}">
              <a16:creationId xmlns:a16="http://schemas.microsoft.com/office/drawing/2014/main" id="{8EBCFB51-A5AF-677F-A09F-C7C3CBF65085}"/>
            </a:ext>
          </a:extLst>
        </xdr:cNvPr>
        <xdr:cNvSpPr txBox="1"/>
      </xdr:nvSpPr>
      <xdr:spPr>
        <a:xfrm>
          <a:off x="3924300" y="415290"/>
          <a:ext cx="8534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20B66F-31C6-4065-90E5-A0D1876F624F}" type="TxLink">
            <a:rPr lang="en-US" sz="1100" b="1" i="0" u="none" strike="noStrike">
              <a:solidFill>
                <a:srgbClr val="000000"/>
              </a:solidFill>
              <a:latin typeface="Calibri"/>
              <a:ea typeface="Calibri"/>
              <a:cs typeface="Calibri"/>
            </a:rPr>
            <a:pPr/>
            <a:t> Total Calls</a:t>
          </a:fld>
          <a:endParaRPr lang="en-GB" sz="1100"/>
        </a:p>
      </xdr:txBody>
    </xdr:sp>
    <xdr:clientData/>
  </xdr:twoCellAnchor>
  <xdr:twoCellAnchor>
    <xdr:from>
      <xdr:col>13</xdr:col>
      <xdr:colOff>487680</xdr:colOff>
      <xdr:row>2</xdr:row>
      <xdr:rowOff>49530</xdr:rowOff>
    </xdr:from>
    <xdr:to>
      <xdr:col>15</xdr:col>
      <xdr:colOff>144780</xdr:colOff>
      <xdr:row>2</xdr:row>
      <xdr:rowOff>346710</xdr:rowOff>
    </xdr:to>
    <xdr:sp macro="" textlink="Sheet1!A5">
      <xdr:nvSpPr>
        <xdr:cNvPr id="28" name="TextBox 27">
          <a:extLst>
            <a:ext uri="{FF2B5EF4-FFF2-40B4-BE49-F238E27FC236}">
              <a16:creationId xmlns:a16="http://schemas.microsoft.com/office/drawing/2014/main" id="{13222BC5-F8F5-4BB5-9163-0C8D28189764}"/>
            </a:ext>
          </a:extLst>
        </xdr:cNvPr>
        <xdr:cNvSpPr txBox="1"/>
      </xdr:nvSpPr>
      <xdr:spPr>
        <a:xfrm>
          <a:off x="9387840" y="415290"/>
          <a:ext cx="8763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48CF3E-4EFA-40C8-BA38-E13884CC4F68}" type="TxLink">
            <a:rPr lang="en-US" sz="1100" b="1" i="0" u="none" strike="noStrike">
              <a:solidFill>
                <a:srgbClr val="000000"/>
              </a:solidFill>
              <a:latin typeface="Calibri"/>
              <a:ea typeface="Calibri"/>
              <a:cs typeface="Calibri"/>
            </a:rPr>
            <a:pPr/>
            <a:t> Deals Closed</a:t>
          </a:fld>
          <a:endParaRPr lang="en-GB" sz="1100"/>
        </a:p>
      </xdr:txBody>
    </xdr:sp>
    <xdr:clientData/>
  </xdr:twoCellAnchor>
  <xdr:twoCellAnchor>
    <xdr:from>
      <xdr:col>18</xdr:col>
      <xdr:colOff>182880</xdr:colOff>
      <xdr:row>2</xdr:row>
      <xdr:rowOff>49530</xdr:rowOff>
    </xdr:from>
    <xdr:to>
      <xdr:col>19</xdr:col>
      <xdr:colOff>449580</xdr:colOff>
      <xdr:row>2</xdr:row>
      <xdr:rowOff>346710</xdr:rowOff>
    </xdr:to>
    <xdr:sp macro="" textlink="Sheet1!A6">
      <xdr:nvSpPr>
        <xdr:cNvPr id="29" name="TextBox 28">
          <a:extLst>
            <a:ext uri="{FF2B5EF4-FFF2-40B4-BE49-F238E27FC236}">
              <a16:creationId xmlns:a16="http://schemas.microsoft.com/office/drawing/2014/main" id="{5EEBABFC-703D-4895-9712-498589A8685A}"/>
            </a:ext>
          </a:extLst>
        </xdr:cNvPr>
        <xdr:cNvSpPr txBox="1"/>
      </xdr:nvSpPr>
      <xdr:spPr>
        <a:xfrm>
          <a:off x="12131040" y="415290"/>
          <a:ext cx="8763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A19ED5-C2C6-4A34-94B4-6AF8F8C332EC}" type="TxLink">
            <a:rPr lang="en-US" sz="1100" b="1" i="0" u="none" strike="noStrike">
              <a:solidFill>
                <a:srgbClr val="000000"/>
              </a:solidFill>
              <a:latin typeface="Calibri"/>
              <a:ea typeface="Calibri"/>
              <a:cs typeface="Calibri"/>
            </a:rPr>
            <a:pPr/>
            <a:t> Deal Value ($)</a:t>
          </a:fld>
          <a:endParaRPr lang="en-GB" sz="1100"/>
        </a:p>
      </xdr:txBody>
    </xdr:sp>
    <xdr:clientData/>
  </xdr:twoCellAnchor>
  <xdr:twoCellAnchor>
    <xdr:from>
      <xdr:col>9</xdr:col>
      <xdr:colOff>182880</xdr:colOff>
      <xdr:row>2</xdr:row>
      <xdr:rowOff>49530</xdr:rowOff>
    </xdr:from>
    <xdr:to>
      <xdr:col>11</xdr:col>
      <xdr:colOff>91440</xdr:colOff>
      <xdr:row>2</xdr:row>
      <xdr:rowOff>346710</xdr:rowOff>
    </xdr:to>
    <xdr:sp macro="" textlink="Sheet1!A7">
      <xdr:nvSpPr>
        <xdr:cNvPr id="30" name="TextBox 29">
          <a:extLst>
            <a:ext uri="{FF2B5EF4-FFF2-40B4-BE49-F238E27FC236}">
              <a16:creationId xmlns:a16="http://schemas.microsoft.com/office/drawing/2014/main" id="{F9ECB0D9-7456-43E0-AA46-D2B203B41720}"/>
            </a:ext>
          </a:extLst>
        </xdr:cNvPr>
        <xdr:cNvSpPr txBox="1"/>
      </xdr:nvSpPr>
      <xdr:spPr>
        <a:xfrm>
          <a:off x="6644640" y="415290"/>
          <a:ext cx="11277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BF7B7A1-B0B9-400F-9E0D-A36878484024}" type="TxLink">
            <a:rPr lang="en-US" sz="1100" b="1" i="0" u="none" strike="noStrike">
              <a:solidFill>
                <a:srgbClr val="000000"/>
              </a:solidFill>
              <a:latin typeface="Calibri"/>
              <a:ea typeface="Calibri"/>
              <a:cs typeface="Calibri"/>
            </a:rPr>
            <a:pPr/>
            <a:t> Calls Reached</a:t>
          </a:fld>
          <a:endParaRPr lang="en-GB" sz="1100"/>
        </a:p>
      </xdr:txBody>
    </xdr:sp>
    <xdr:clientData/>
  </xdr:twoCellAnchor>
  <xdr:twoCellAnchor>
    <xdr:from>
      <xdr:col>6</xdr:col>
      <xdr:colOff>114300</xdr:colOff>
      <xdr:row>3</xdr:row>
      <xdr:rowOff>45720</xdr:rowOff>
    </xdr:from>
    <xdr:to>
      <xdr:col>7</xdr:col>
      <xdr:colOff>411480</xdr:colOff>
      <xdr:row>4</xdr:row>
      <xdr:rowOff>160020</xdr:rowOff>
    </xdr:to>
    <xdr:sp macro="" textlink="Sheet1!B4">
      <xdr:nvSpPr>
        <xdr:cNvPr id="31" name="TextBox 30">
          <a:extLst>
            <a:ext uri="{FF2B5EF4-FFF2-40B4-BE49-F238E27FC236}">
              <a16:creationId xmlns:a16="http://schemas.microsoft.com/office/drawing/2014/main" id="{20ED6FAD-5ED7-42F6-839E-5FF62D979314}"/>
            </a:ext>
          </a:extLst>
        </xdr:cNvPr>
        <xdr:cNvSpPr txBox="1"/>
      </xdr:nvSpPr>
      <xdr:spPr>
        <a:xfrm>
          <a:off x="4091940" y="822960"/>
          <a:ext cx="12039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E47708-5FD0-42CD-A8B4-D9FBB9172EF3}" type="TxLink">
            <a:rPr lang="en-US" sz="2000" b="0" i="0" u="none" strike="noStrike">
              <a:solidFill>
                <a:srgbClr val="000000"/>
              </a:solidFill>
              <a:latin typeface="Times New Roman" panose="02020603050405020304" pitchFamily="18" charset="0"/>
              <a:ea typeface="Calibri"/>
              <a:cs typeface="Times New Roman" panose="02020603050405020304" pitchFamily="18" charset="0"/>
            </a:rPr>
            <a:pPr/>
            <a:t>18300</a:t>
          </a:fld>
          <a:endParaRPr lang="en-GB" sz="2000">
            <a:latin typeface="Times New Roman" panose="02020603050405020304" pitchFamily="18" charset="0"/>
            <a:cs typeface="Times New Roman" panose="02020603050405020304" pitchFamily="18" charset="0"/>
          </a:endParaRPr>
        </a:p>
      </xdr:txBody>
    </xdr:sp>
    <xdr:clientData/>
  </xdr:twoCellAnchor>
  <xdr:twoCellAnchor>
    <xdr:from>
      <xdr:col>13</xdr:col>
      <xdr:colOff>556260</xdr:colOff>
      <xdr:row>3</xdr:row>
      <xdr:rowOff>45720</xdr:rowOff>
    </xdr:from>
    <xdr:to>
      <xdr:col>15</xdr:col>
      <xdr:colOff>541020</xdr:colOff>
      <xdr:row>4</xdr:row>
      <xdr:rowOff>160020</xdr:rowOff>
    </xdr:to>
    <xdr:sp macro="" textlink="Sheet1!B5">
      <xdr:nvSpPr>
        <xdr:cNvPr id="32" name="TextBox 31">
          <a:extLst>
            <a:ext uri="{FF2B5EF4-FFF2-40B4-BE49-F238E27FC236}">
              <a16:creationId xmlns:a16="http://schemas.microsoft.com/office/drawing/2014/main" id="{CD75989C-0984-4270-B97C-F93F3BE3EB2C}"/>
            </a:ext>
          </a:extLst>
        </xdr:cNvPr>
        <xdr:cNvSpPr txBox="1"/>
      </xdr:nvSpPr>
      <xdr:spPr>
        <a:xfrm>
          <a:off x="9639300" y="822960"/>
          <a:ext cx="12039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F0BE32-8B22-43F2-982E-A0899BB8D311}" type="TxLink">
            <a:rPr lang="en-US" sz="2000" b="0" i="0" u="none" strike="noStrike">
              <a:solidFill>
                <a:srgbClr val="000000"/>
              </a:solidFill>
              <a:latin typeface="Times New Roman" panose="02020603050405020304" pitchFamily="18" charset="0"/>
              <a:ea typeface="Calibri"/>
              <a:cs typeface="Times New Roman" panose="02020603050405020304" pitchFamily="18" charset="0"/>
            </a:rPr>
            <a:pPr/>
            <a:t>1309</a:t>
          </a:fld>
          <a:endParaRPr lang="en-GB" sz="2000">
            <a:latin typeface="Times New Roman" panose="02020603050405020304" pitchFamily="18" charset="0"/>
            <a:cs typeface="Times New Roman" panose="02020603050405020304" pitchFamily="18" charset="0"/>
          </a:endParaRPr>
        </a:p>
      </xdr:txBody>
    </xdr:sp>
    <xdr:clientData/>
  </xdr:twoCellAnchor>
  <xdr:twoCellAnchor>
    <xdr:from>
      <xdr:col>18</xdr:col>
      <xdr:colOff>281940</xdr:colOff>
      <xdr:row>3</xdr:row>
      <xdr:rowOff>45720</xdr:rowOff>
    </xdr:from>
    <xdr:to>
      <xdr:col>20</xdr:col>
      <xdr:colOff>266700</xdr:colOff>
      <xdr:row>4</xdr:row>
      <xdr:rowOff>160020</xdr:rowOff>
    </xdr:to>
    <xdr:sp macro="" textlink="Sheet1!B6">
      <xdr:nvSpPr>
        <xdr:cNvPr id="33" name="TextBox 32">
          <a:extLst>
            <a:ext uri="{FF2B5EF4-FFF2-40B4-BE49-F238E27FC236}">
              <a16:creationId xmlns:a16="http://schemas.microsoft.com/office/drawing/2014/main" id="{BFC8C0C3-E9C4-45F4-98A8-B3F6813A5910}"/>
            </a:ext>
          </a:extLst>
        </xdr:cNvPr>
        <xdr:cNvSpPr txBox="1"/>
      </xdr:nvSpPr>
      <xdr:spPr>
        <a:xfrm>
          <a:off x="12412980" y="822960"/>
          <a:ext cx="12039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B0650E-8C64-4612-8558-2113523EF24C}" type="TxLink">
            <a:rPr lang="en-US" sz="2000" b="0" i="0" u="none" strike="noStrike">
              <a:solidFill>
                <a:srgbClr val="000000"/>
              </a:solidFill>
              <a:latin typeface="Times New Roman" panose="02020603050405020304" pitchFamily="18" charset="0"/>
              <a:ea typeface="Calibri"/>
              <a:cs typeface="Times New Roman" panose="02020603050405020304" pitchFamily="18" charset="0"/>
            </a:rPr>
            <a:pPr/>
            <a:t>706194.89</a:t>
          </a:fld>
          <a:endParaRPr lang="en-GB" sz="2000">
            <a:latin typeface="Times New Roman" panose="02020603050405020304" pitchFamily="18" charset="0"/>
            <a:cs typeface="Times New Roman" panose="02020603050405020304" pitchFamily="18" charset="0"/>
          </a:endParaRPr>
        </a:p>
      </xdr:txBody>
    </xdr:sp>
    <xdr:clientData/>
  </xdr:twoCellAnchor>
  <xdr:twoCellAnchor>
    <xdr:from>
      <xdr:col>9</xdr:col>
      <xdr:colOff>220980</xdr:colOff>
      <xdr:row>3</xdr:row>
      <xdr:rowOff>45720</xdr:rowOff>
    </xdr:from>
    <xdr:to>
      <xdr:col>11</xdr:col>
      <xdr:colOff>205740</xdr:colOff>
      <xdr:row>4</xdr:row>
      <xdr:rowOff>160020</xdr:rowOff>
    </xdr:to>
    <xdr:sp macro="" textlink="Sheet1!B7">
      <xdr:nvSpPr>
        <xdr:cNvPr id="34" name="TextBox 33">
          <a:extLst>
            <a:ext uri="{FF2B5EF4-FFF2-40B4-BE49-F238E27FC236}">
              <a16:creationId xmlns:a16="http://schemas.microsoft.com/office/drawing/2014/main" id="{69A78D65-8F35-478D-B485-A256EFDC4F1B}"/>
            </a:ext>
          </a:extLst>
        </xdr:cNvPr>
        <xdr:cNvSpPr txBox="1"/>
      </xdr:nvSpPr>
      <xdr:spPr>
        <a:xfrm>
          <a:off x="6865620" y="822960"/>
          <a:ext cx="12039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70F830-7CD1-4671-8B32-240D0BCC43F7}" type="TxLink">
            <a:rPr lang="en-US" sz="2000" b="0" i="0" u="none" strike="noStrike">
              <a:solidFill>
                <a:srgbClr val="000000"/>
              </a:solidFill>
              <a:latin typeface="Times New Roman" panose="02020603050405020304" pitchFamily="18" charset="0"/>
              <a:ea typeface="Calibri"/>
              <a:cs typeface="Times New Roman" panose="02020603050405020304" pitchFamily="18" charset="0"/>
            </a:rPr>
            <a:pPr/>
            <a:t>3619</a:t>
          </a:fld>
          <a:endParaRPr lang="en-GB" sz="2000">
            <a:latin typeface="Times New Roman" panose="02020603050405020304" pitchFamily="18" charset="0"/>
            <a:cs typeface="Times New Roman" panose="02020603050405020304" pitchFamily="18" charset="0"/>
          </a:endParaRPr>
        </a:p>
      </xdr:txBody>
    </xdr:sp>
    <xdr:clientData/>
  </xdr:twoCellAnchor>
  <xdr:twoCellAnchor>
    <xdr:from>
      <xdr:col>9</xdr:col>
      <xdr:colOff>7620</xdr:colOff>
      <xdr:row>9</xdr:row>
      <xdr:rowOff>15240</xdr:rowOff>
    </xdr:from>
    <xdr:to>
      <xdr:col>15</xdr:col>
      <xdr:colOff>457200</xdr:colOff>
      <xdr:row>36</xdr:row>
      <xdr:rowOff>76200</xdr:rowOff>
    </xdr:to>
    <xdr:graphicFrame macro="">
      <xdr:nvGraphicFramePr>
        <xdr:cNvPr id="39" name="Chart 38">
          <a:extLst>
            <a:ext uri="{FF2B5EF4-FFF2-40B4-BE49-F238E27FC236}">
              <a16:creationId xmlns:a16="http://schemas.microsoft.com/office/drawing/2014/main" id="{C7A3C59D-1A88-4649-A3B4-F7CF86315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30480</xdr:colOff>
      <xdr:row>9</xdr:row>
      <xdr:rowOff>0</xdr:rowOff>
    </xdr:from>
    <xdr:to>
      <xdr:col>3</xdr:col>
      <xdr:colOff>601980</xdr:colOff>
      <xdr:row>35</xdr:row>
      <xdr:rowOff>114300</xdr:rowOff>
    </xdr:to>
    <mc:AlternateContent xmlns:mc="http://schemas.openxmlformats.org/markup-compatibility/2006" xmlns:a14="http://schemas.microsoft.com/office/drawing/2010/main">
      <mc:Choice Requires="a14">
        <xdr:graphicFrame macro="">
          <xdr:nvGraphicFramePr>
            <xdr:cNvPr id="41" name="Name">
              <a:extLst>
                <a:ext uri="{FF2B5EF4-FFF2-40B4-BE49-F238E27FC236}">
                  <a16:creationId xmlns:a16="http://schemas.microsoft.com/office/drawing/2014/main" id="{6AA0553B-CDE6-E9A9-7CD2-0768CB01036A}"/>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30480" y="1874520"/>
              <a:ext cx="2400300" cy="48691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441960</xdr:colOff>
      <xdr:row>8</xdr:row>
      <xdr:rowOff>175260</xdr:rowOff>
    </xdr:from>
    <xdr:to>
      <xdr:col>23</xdr:col>
      <xdr:colOff>137160</xdr:colOff>
      <xdr:row>37</xdr:row>
      <xdr:rowOff>45720</xdr:rowOff>
    </xdr:to>
    <mc:AlternateContent xmlns:mc="http://schemas.openxmlformats.org/markup-compatibility/2006">
      <mc:Choice xmlns:cx4="http://schemas.microsoft.com/office/drawing/2016/5/10/chartex" Requires="cx4">
        <xdr:graphicFrame macro="">
          <xdr:nvGraphicFramePr>
            <xdr:cNvPr id="42" name="Chart 41">
              <a:extLst>
                <a:ext uri="{FF2B5EF4-FFF2-40B4-BE49-F238E27FC236}">
                  <a16:creationId xmlns:a16="http://schemas.microsoft.com/office/drawing/2014/main" id="{4C9B7E2E-5D3D-4DAE-BD9E-B355F175E5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561320" y="1866900"/>
              <a:ext cx="4572000" cy="517398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350520</xdr:colOff>
      <xdr:row>8</xdr:row>
      <xdr:rowOff>106680</xdr:rowOff>
    </xdr:from>
    <xdr:to>
      <xdr:col>7</xdr:col>
      <xdr:colOff>647700</xdr:colOff>
      <xdr:row>10</xdr:row>
      <xdr:rowOff>38100</xdr:rowOff>
    </xdr:to>
    <xdr:sp macro="" textlink="Sheet1!A4">
      <xdr:nvSpPr>
        <xdr:cNvPr id="20" name="TextBox 19">
          <a:extLst>
            <a:ext uri="{FF2B5EF4-FFF2-40B4-BE49-F238E27FC236}">
              <a16:creationId xmlns:a16="http://schemas.microsoft.com/office/drawing/2014/main" id="{9BFF7F0A-7835-3769-C419-38695DA1623C}"/>
            </a:ext>
          </a:extLst>
        </xdr:cNvPr>
        <xdr:cNvSpPr txBox="1"/>
      </xdr:nvSpPr>
      <xdr:spPr>
        <a:xfrm>
          <a:off x="4206240" y="1798320"/>
          <a:ext cx="11811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192ED2D-A837-4D2A-BE30-F245F164FA24}" type="TxLink">
            <a:rPr lang="en-US" sz="1100" b="1" i="0" u="none" strike="noStrike">
              <a:solidFill>
                <a:srgbClr val="000000"/>
              </a:solidFill>
              <a:latin typeface="Calibri"/>
              <a:ea typeface="Calibri"/>
              <a:cs typeface="Calibri"/>
            </a:rPr>
            <a:pPr/>
            <a:t> Total Calls</a:t>
          </a:fld>
          <a:endParaRPr lang="en-GB" sz="2000" b="0"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1.834247453706" createdVersion="8" refreshedVersion="8" minRefreshableVersion="3" recordCount="312" xr:uid="{8C8A4247-6608-465F-8A09-50DEE5080629}">
  <cacheSource type="worksheet">
    <worksheetSource name="Salesdata"/>
  </cacheSource>
  <cacheFields count="13">
    <cacheField name="Name" numFmtId="0">
      <sharedItems count="26">
        <s v="Evan"/>
        <s v="Alice"/>
        <s v="Diana"/>
        <s v="Jake"/>
        <s v="Liam"/>
        <s v="Bob"/>
        <s v="Rick"/>
        <s v="Charlie"/>
        <s v="Molly"/>
        <s v="Chris"/>
        <s v="James"/>
        <s v="Richard"/>
        <s v="Paul"/>
        <s v="Ian"/>
        <s v="Melissa"/>
        <s v="Alex"/>
        <s v="Karol"/>
        <s v="Darren"/>
        <s v="Will"/>
        <s v="Vicky"/>
        <s v="Grace"/>
        <s v="Emma"/>
        <s v="Josh"/>
        <s v="Craig"/>
        <s v="David"/>
        <s v="Mimi"/>
      </sharedItems>
    </cacheField>
    <cacheField name="Region" numFmtId="0">
      <sharedItems count="5">
        <s v="Dhaka"/>
        <s v="Rangpur"/>
        <s v="Sylhet"/>
        <s v="Chittagong"/>
        <s v="Barisal"/>
      </sharedItems>
    </cacheField>
    <cacheField name="Date" numFmtId="14">
      <sharedItems containsSemiMixedTypes="0" containsNonDate="0" containsDate="1" containsString="0" minDate="2024-01-01T00:00:00" maxDate="2024-12-02T00:00:00" count="12">
        <d v="2024-01-01T00:00:00"/>
        <d v="2024-02-01T00:00:00"/>
        <d v="2024-03-01T00:00:00"/>
        <d v="2024-04-01T00:00:00"/>
        <d v="2024-05-01T00:00:00"/>
        <d v="2024-06-01T00:00:00"/>
        <d v="2024-07-01T00:00:00"/>
        <d v="2024-08-01T00:00:00"/>
        <d v="2024-09-01T00:00:00"/>
        <d v="2024-10-01T00:00:00"/>
        <d v="2024-11-01T00:00:00"/>
        <d v="2024-12-01T00:00:00"/>
      </sharedItems>
      <fieldGroup par="12"/>
    </cacheField>
    <cacheField name="Total Calls" numFmtId="0">
      <sharedItems containsSemiMixedTypes="0" containsString="0" containsNumber="1" containsInteger="1" minValue="16" maxValue="115"/>
    </cacheField>
    <cacheField name="Calls Reached" numFmtId="0">
      <sharedItems containsSemiMixedTypes="0" containsString="0" containsNumber="1" containsInteger="1" minValue="4" maxValue="22"/>
    </cacheField>
    <cacheField name="Average Duration (sec)" numFmtId="0">
      <sharedItems containsSemiMixedTypes="0" containsString="0" containsNumber="1" minValue="71.41" maxValue="633.37"/>
    </cacheField>
    <cacheField name="Deals Closed" numFmtId="0">
      <sharedItems containsSemiMixedTypes="0" containsString="0" containsNumber="1" containsInteger="1" minValue="0" maxValue="10"/>
    </cacheField>
    <cacheField name="Call Conversion Rate (%)" numFmtId="9">
      <sharedItems containsSemiMixedTypes="0" containsString="0" containsNumber="1" minValue="0" maxValue="1"/>
    </cacheField>
    <cacheField name="Deal Value ($)" numFmtId="0">
      <sharedItems containsSemiMixedTypes="0" containsString="0" containsNumber="1" minValue="221.94" maxValue="4641.6099999999997"/>
    </cacheField>
    <cacheField name="Service Level" numFmtId="0">
      <sharedItems containsSemiMixedTypes="0" containsString="0" containsNumber="1" containsInteger="1" minValue="1" maxValue="3"/>
    </cacheField>
    <cacheField name="Call Drop Rate (%)" numFmtId="9">
      <sharedItems containsSemiMixedTypes="0" containsString="0" containsNumber="1" minValue="8.9999999999999998E-4" maxValue="0.10640000000000001"/>
    </cacheField>
    <cacheField name="Days (Date)" numFmtId="0" databaseField="0">
      <fieldGroup base="2">
        <rangePr groupBy="days" startDate="2024-01-01T00:00:00" endDate="2024-12-02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2/2024"/>
        </groupItems>
      </fieldGroup>
    </cacheField>
    <cacheField name="Months (Date)" numFmtId="0" databaseField="0">
      <fieldGroup base="2">
        <rangePr groupBy="months" startDate="2024-01-01T00:00:00" endDate="2024-12-02T00:00:00"/>
        <groupItems count="14">
          <s v="&lt;01/01/2024"/>
          <s v="Jan"/>
          <s v="Feb"/>
          <s v="Mar"/>
          <s v="Apr"/>
          <s v="May"/>
          <s v="Jun"/>
          <s v="Jul"/>
          <s v="Aug"/>
          <s v="Sep"/>
          <s v="Oct"/>
          <s v="Nov"/>
          <s v="Dec"/>
          <s v="&gt;02/12/2024"/>
        </groupItems>
      </fieldGroup>
    </cacheField>
  </cacheFields>
  <extLst>
    <ext xmlns:x14="http://schemas.microsoft.com/office/spreadsheetml/2009/9/main" uri="{725AE2AE-9491-48be-B2B4-4EB974FC3084}">
      <x14:pivotCacheDefinition pivotCacheId="13766636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x v="0"/>
    <x v="0"/>
    <x v="0"/>
    <n v="74"/>
    <n v="12"/>
    <n v="330.42"/>
    <n v="7"/>
    <n v="0.58333333333333337"/>
    <n v="4276.3100000000004"/>
    <n v="3"/>
    <n v="2.9500000000000002E-2"/>
  </r>
  <r>
    <x v="1"/>
    <x v="0"/>
    <x v="0"/>
    <n v="78"/>
    <n v="12"/>
    <n v="377.5"/>
    <n v="4"/>
    <n v="0.33333333333333331"/>
    <n v="3880.98"/>
    <n v="2"/>
    <n v="4.3400000000000001E-2"/>
  </r>
  <r>
    <x v="2"/>
    <x v="0"/>
    <x v="0"/>
    <n v="47"/>
    <n v="14"/>
    <n v="418.92"/>
    <n v="2"/>
    <n v="0.14285714285714285"/>
    <n v="3716"/>
    <n v="1"/>
    <n v="4.3899999999999995E-2"/>
  </r>
  <r>
    <x v="3"/>
    <x v="0"/>
    <x v="0"/>
    <n v="24"/>
    <n v="6"/>
    <n v="76.930000000000007"/>
    <n v="4"/>
    <n v="0.66666666666666663"/>
    <n v="1552.35"/>
    <n v="3"/>
    <n v="3.0800000000000001E-2"/>
  </r>
  <r>
    <x v="4"/>
    <x v="0"/>
    <x v="0"/>
    <n v="81"/>
    <n v="16"/>
    <n v="516.23"/>
    <n v="5"/>
    <n v="0.3125"/>
    <n v="1030.68"/>
    <n v="2"/>
    <n v="4.1100000000000005E-2"/>
  </r>
  <r>
    <x v="5"/>
    <x v="0"/>
    <x v="0"/>
    <n v="59"/>
    <n v="5"/>
    <n v="520.05999999999995"/>
    <n v="3"/>
    <n v="0.6"/>
    <n v="3546.72"/>
    <n v="1"/>
    <n v="1.2699999999999999E-2"/>
  </r>
  <r>
    <x v="6"/>
    <x v="0"/>
    <x v="0"/>
    <n v="68"/>
    <n v="19"/>
    <n v="290.39"/>
    <n v="3"/>
    <n v="0.15789473684210525"/>
    <n v="2472.2399999999998"/>
    <n v="3"/>
    <n v="9.5399999999999985E-2"/>
  </r>
  <r>
    <x v="7"/>
    <x v="0"/>
    <x v="0"/>
    <n v="60"/>
    <n v="7"/>
    <n v="251.7"/>
    <n v="5"/>
    <n v="0.7142857142857143"/>
    <n v="3956.69"/>
    <n v="2"/>
    <n v="4.1100000000000005E-2"/>
  </r>
  <r>
    <x v="8"/>
    <x v="0"/>
    <x v="0"/>
    <n v="34"/>
    <n v="21"/>
    <n v="362.62"/>
    <n v="9"/>
    <n v="0.42857142857142855"/>
    <n v="1140.08"/>
    <n v="1"/>
    <n v="5.4600000000000003E-2"/>
  </r>
  <r>
    <x v="9"/>
    <x v="0"/>
    <x v="0"/>
    <n v="59"/>
    <n v="13"/>
    <n v="307.49"/>
    <n v="10"/>
    <n v="0.76923076923076927"/>
    <n v="979.09"/>
    <n v="3"/>
    <n v="3.27E-2"/>
  </r>
  <r>
    <x v="10"/>
    <x v="0"/>
    <x v="0"/>
    <n v="18"/>
    <n v="8"/>
    <n v="206.81"/>
    <n v="7"/>
    <n v="0.875"/>
    <n v="720.56"/>
    <n v="2"/>
    <n v="7.8899999999999998E-2"/>
  </r>
  <r>
    <x v="11"/>
    <x v="0"/>
    <x v="0"/>
    <n v="36"/>
    <n v="6"/>
    <n v="547.6"/>
    <n v="5"/>
    <n v="0.83333333333333337"/>
    <n v="3463.18"/>
    <n v="1"/>
    <n v="3.7599999999999995E-2"/>
  </r>
  <r>
    <x v="12"/>
    <x v="0"/>
    <x v="0"/>
    <n v="67"/>
    <n v="17"/>
    <n v="552.54999999999995"/>
    <n v="2"/>
    <n v="0.11764705882352941"/>
    <n v="330.12"/>
    <n v="1"/>
    <n v="3.7200000000000004E-2"/>
  </r>
  <r>
    <x v="13"/>
    <x v="0"/>
    <x v="0"/>
    <n v="36"/>
    <n v="9"/>
    <n v="216.03"/>
    <n v="2"/>
    <n v="0.22222222222222221"/>
    <n v="4072.07"/>
    <n v="3"/>
    <n v="4.1200000000000001E-2"/>
  </r>
  <r>
    <x v="14"/>
    <x v="0"/>
    <x v="0"/>
    <n v="54"/>
    <n v="10"/>
    <n v="208.23"/>
    <n v="3"/>
    <n v="0.3"/>
    <n v="645.83000000000004"/>
    <n v="2"/>
    <n v="2.7999999999999997E-2"/>
  </r>
  <r>
    <x v="15"/>
    <x v="0"/>
    <x v="0"/>
    <n v="82"/>
    <n v="4"/>
    <n v="180.06"/>
    <n v="4"/>
    <n v="1"/>
    <n v="1207.17"/>
    <n v="1"/>
    <n v="8.4199999999999997E-2"/>
  </r>
  <r>
    <x v="16"/>
    <x v="0"/>
    <x v="0"/>
    <n v="81"/>
    <n v="7"/>
    <n v="82.43"/>
    <n v="7"/>
    <n v="1"/>
    <n v="3463.96"/>
    <n v="3"/>
    <n v="8.4900000000000003E-2"/>
  </r>
  <r>
    <x v="17"/>
    <x v="0"/>
    <x v="0"/>
    <n v="31"/>
    <n v="17"/>
    <n v="476.95"/>
    <n v="7"/>
    <n v="0.41176470588235292"/>
    <n v="3945.43"/>
    <n v="2"/>
    <n v="3.6000000000000004E-2"/>
  </r>
  <r>
    <x v="18"/>
    <x v="0"/>
    <x v="0"/>
    <n v="92"/>
    <n v="20"/>
    <n v="161.41999999999999"/>
    <n v="4"/>
    <n v="0.2"/>
    <n v="425.41"/>
    <n v="1"/>
    <n v="0.1045"/>
  </r>
  <r>
    <x v="19"/>
    <x v="0"/>
    <x v="0"/>
    <n v="73"/>
    <n v="12"/>
    <n v="507.45"/>
    <n v="0"/>
    <n v="0"/>
    <n v="1123.8399999999999"/>
    <n v="3"/>
    <n v="8.9999999999999998E-4"/>
  </r>
  <r>
    <x v="20"/>
    <x v="0"/>
    <x v="0"/>
    <n v="25"/>
    <n v="14"/>
    <n v="279.95"/>
    <n v="2"/>
    <n v="0.14285714285714285"/>
    <n v="1432.23"/>
    <n v="2"/>
    <n v="5.1699999999999996E-2"/>
  </r>
  <r>
    <x v="21"/>
    <x v="0"/>
    <x v="0"/>
    <n v="96"/>
    <n v="6"/>
    <n v="532.83000000000004"/>
    <n v="1"/>
    <n v="0.16666666666666666"/>
    <n v="3173.13"/>
    <n v="1"/>
    <n v="2.8300000000000002E-2"/>
  </r>
  <r>
    <x v="22"/>
    <x v="0"/>
    <x v="0"/>
    <n v="63"/>
    <n v="8"/>
    <n v="170.49"/>
    <n v="7"/>
    <n v="0.875"/>
    <n v="526.12"/>
    <n v="3"/>
    <n v="8.3499999999999991E-2"/>
  </r>
  <r>
    <x v="23"/>
    <x v="1"/>
    <x v="0"/>
    <n v="92"/>
    <n v="13"/>
    <n v="422.39"/>
    <n v="1"/>
    <n v="7.6923076923076927E-2"/>
    <n v="2695.84"/>
    <n v="2"/>
    <n v="2.46E-2"/>
  </r>
  <r>
    <x v="24"/>
    <x v="1"/>
    <x v="0"/>
    <n v="38"/>
    <n v="10"/>
    <n v="514.25"/>
    <n v="4"/>
    <n v="0.4"/>
    <n v="243.62"/>
    <n v="1"/>
    <n v="6.4399999999999999E-2"/>
  </r>
  <r>
    <x v="25"/>
    <x v="1"/>
    <x v="0"/>
    <n v="43"/>
    <n v="15"/>
    <n v="363.48"/>
    <n v="7"/>
    <n v="0.46666666666666667"/>
    <n v="3843.52"/>
    <n v="3"/>
    <n v="8.3400000000000002E-2"/>
  </r>
  <r>
    <x v="0"/>
    <x v="1"/>
    <x v="1"/>
    <n v="62"/>
    <n v="15"/>
    <n v="361.38"/>
    <n v="6"/>
    <n v="0.4"/>
    <n v="4195.1400000000003"/>
    <n v="2"/>
    <n v="2.75E-2"/>
  </r>
  <r>
    <x v="1"/>
    <x v="1"/>
    <x v="1"/>
    <n v="81"/>
    <n v="14"/>
    <n v="362.96"/>
    <n v="5"/>
    <n v="0.35714285714285715"/>
    <n v="3620.19"/>
    <n v="1"/>
    <n v="4.0800000000000003E-2"/>
  </r>
  <r>
    <x v="2"/>
    <x v="1"/>
    <x v="1"/>
    <n v="52"/>
    <n v="14"/>
    <n v="382.59"/>
    <n v="3"/>
    <n v="0.21428571428571427"/>
    <n v="3394.39"/>
    <n v="3"/>
    <n v="4.5599999999999995E-2"/>
  </r>
  <r>
    <x v="3"/>
    <x v="1"/>
    <x v="1"/>
    <n v="22"/>
    <n v="7"/>
    <n v="79.459999999999994"/>
    <n v="3"/>
    <n v="0.42857142857142855"/>
    <n v="1638.74"/>
    <n v="2"/>
    <n v="3.04E-2"/>
  </r>
  <r>
    <x v="4"/>
    <x v="1"/>
    <x v="1"/>
    <n v="93"/>
    <n v="11"/>
    <n v="446.3"/>
    <n v="5"/>
    <n v="0.45454545454545453"/>
    <n v="1057.1400000000001"/>
    <n v="1"/>
    <n v="3.6900000000000002E-2"/>
  </r>
  <r>
    <x v="5"/>
    <x v="1"/>
    <x v="1"/>
    <n v="65"/>
    <n v="7"/>
    <n v="461.67"/>
    <n v="2"/>
    <n v="0.2857142857142857"/>
    <n v="3486.23"/>
    <n v="3"/>
    <n v="1.1200000000000002E-2"/>
  </r>
  <r>
    <x v="6"/>
    <x v="1"/>
    <x v="1"/>
    <n v="90"/>
    <n v="20"/>
    <n v="328.63"/>
    <n v="3"/>
    <n v="0.15"/>
    <n v="2662.44"/>
    <n v="2"/>
    <n v="0.10640000000000001"/>
  </r>
  <r>
    <x v="7"/>
    <x v="1"/>
    <x v="1"/>
    <n v="48"/>
    <n v="7"/>
    <n v="247.66"/>
    <n v="6"/>
    <n v="0.8571428571428571"/>
    <n v="4335.84"/>
    <n v="1"/>
    <n v="3.9900000000000005E-2"/>
  </r>
  <r>
    <x v="8"/>
    <x v="1"/>
    <x v="1"/>
    <n v="37"/>
    <n v="17"/>
    <n v="378.61"/>
    <n v="10"/>
    <n v="0.58823529411764708"/>
    <n v="1295.07"/>
    <n v="3"/>
    <n v="5.6299999999999996E-2"/>
  </r>
  <r>
    <x v="9"/>
    <x v="1"/>
    <x v="1"/>
    <n v="68"/>
    <n v="16"/>
    <n v="299.58999999999997"/>
    <n v="9"/>
    <n v="0.5625"/>
    <n v="979.47"/>
    <n v="2"/>
    <n v="3.6900000000000002E-2"/>
  </r>
  <r>
    <x v="10"/>
    <x v="1"/>
    <x v="1"/>
    <n v="20"/>
    <n v="9"/>
    <n v="202.4"/>
    <n v="7"/>
    <n v="0.77777777777777779"/>
    <n v="732.99"/>
    <n v="1"/>
    <n v="7.9000000000000001E-2"/>
  </r>
  <r>
    <x v="11"/>
    <x v="1"/>
    <x v="1"/>
    <n v="35"/>
    <n v="6"/>
    <n v="568.38"/>
    <n v="6"/>
    <n v="1"/>
    <n v="3949.69"/>
    <n v="1"/>
    <n v="3.7499999999999999E-2"/>
  </r>
  <r>
    <x v="12"/>
    <x v="1"/>
    <x v="1"/>
    <n v="68"/>
    <n v="21"/>
    <n v="553.08000000000004"/>
    <n v="3"/>
    <n v="0.14285714285714285"/>
    <n v="360.7"/>
    <n v="3"/>
    <n v="3.3399999999999999E-2"/>
  </r>
  <r>
    <x v="13"/>
    <x v="1"/>
    <x v="1"/>
    <n v="30"/>
    <n v="8"/>
    <n v="223.22"/>
    <n v="2"/>
    <n v="0.25"/>
    <n v="3595.12"/>
    <n v="2"/>
    <n v="4.3400000000000001E-2"/>
  </r>
  <r>
    <x v="14"/>
    <x v="1"/>
    <x v="1"/>
    <n v="69"/>
    <n v="8"/>
    <n v="199.93"/>
    <n v="2"/>
    <n v="0.25"/>
    <n v="610.66"/>
    <n v="1"/>
    <n v="2.8199999999999999E-2"/>
  </r>
  <r>
    <x v="15"/>
    <x v="1"/>
    <x v="1"/>
    <n v="92"/>
    <n v="6"/>
    <n v="180.46"/>
    <n v="5"/>
    <n v="0.83333333333333337"/>
    <n v="1173.27"/>
    <n v="3"/>
    <n v="7.5300000000000006E-2"/>
  </r>
  <r>
    <x v="16"/>
    <x v="1"/>
    <x v="1"/>
    <n v="92"/>
    <n v="7"/>
    <n v="80.12"/>
    <n v="6"/>
    <n v="0.8571428571428571"/>
    <n v="3794.02"/>
    <n v="2"/>
    <n v="9.5000000000000001E-2"/>
  </r>
  <r>
    <x v="17"/>
    <x v="1"/>
    <x v="1"/>
    <n v="21"/>
    <n v="14"/>
    <n v="563.79"/>
    <n v="8"/>
    <n v="0.5714285714285714"/>
    <n v="3616.21"/>
    <n v="1"/>
    <n v="3.61E-2"/>
  </r>
  <r>
    <x v="18"/>
    <x v="1"/>
    <x v="1"/>
    <n v="83"/>
    <n v="20"/>
    <n v="193.39"/>
    <n v="5"/>
    <n v="0.25"/>
    <n v="402.53"/>
    <n v="3"/>
    <n v="0.1013"/>
  </r>
  <r>
    <x v="19"/>
    <x v="1"/>
    <x v="1"/>
    <n v="57"/>
    <n v="11"/>
    <n v="454.77"/>
    <n v="1"/>
    <n v="9.0909090909090912E-2"/>
    <n v="1152.4100000000001"/>
    <n v="2"/>
    <n v="1E-3"/>
  </r>
  <r>
    <x v="20"/>
    <x v="1"/>
    <x v="1"/>
    <n v="22"/>
    <n v="17"/>
    <n v="291.97000000000003"/>
    <n v="1"/>
    <n v="5.8823529411764705E-2"/>
    <n v="1703.6"/>
    <n v="1"/>
    <n v="5.21E-2"/>
  </r>
  <r>
    <x v="21"/>
    <x v="1"/>
    <x v="1"/>
    <n v="78"/>
    <n v="5"/>
    <n v="553.86"/>
    <n v="1"/>
    <n v="0.2"/>
    <n v="3503.57"/>
    <n v="3"/>
    <n v="3.1300000000000001E-2"/>
  </r>
  <r>
    <x v="22"/>
    <x v="1"/>
    <x v="1"/>
    <n v="68"/>
    <n v="7"/>
    <n v="171.76"/>
    <n v="7"/>
    <n v="1"/>
    <n v="548.36"/>
    <n v="2"/>
    <n v="8.2500000000000004E-2"/>
  </r>
  <r>
    <x v="23"/>
    <x v="1"/>
    <x v="1"/>
    <n v="83"/>
    <n v="16"/>
    <n v="382.21"/>
    <n v="1"/>
    <n v="6.25E-2"/>
    <n v="3017.43"/>
    <n v="3"/>
    <n v="2.4199999999999999E-2"/>
  </r>
  <r>
    <x v="24"/>
    <x v="1"/>
    <x v="1"/>
    <n v="31"/>
    <n v="11"/>
    <n v="562.73"/>
    <n v="4"/>
    <n v="0.36363636363636365"/>
    <n v="221.94"/>
    <n v="2"/>
    <n v="6.7400000000000002E-2"/>
  </r>
  <r>
    <x v="25"/>
    <x v="1"/>
    <x v="1"/>
    <n v="34"/>
    <n v="17"/>
    <n v="380.37"/>
    <n v="7"/>
    <n v="0.41176470588235292"/>
    <n v="4183.2700000000004"/>
    <n v="1"/>
    <n v="8.8699999999999987E-2"/>
  </r>
  <r>
    <x v="0"/>
    <x v="1"/>
    <x v="2"/>
    <n v="55"/>
    <n v="17"/>
    <n v="315.62"/>
    <n v="5"/>
    <n v="0.29411764705882354"/>
    <n v="3890.73"/>
    <n v="3"/>
    <n v="2.8799999999999999E-2"/>
  </r>
  <r>
    <x v="1"/>
    <x v="1"/>
    <x v="2"/>
    <n v="91"/>
    <n v="10"/>
    <n v="361.58"/>
    <n v="4"/>
    <n v="0.4"/>
    <n v="3674.37"/>
    <n v="2"/>
    <n v="4.0800000000000003E-2"/>
  </r>
  <r>
    <x v="2"/>
    <x v="1"/>
    <x v="2"/>
    <n v="59"/>
    <n v="13"/>
    <n v="402.9"/>
    <n v="2"/>
    <n v="0.15384615384615385"/>
    <n v="3357.27"/>
    <n v="1"/>
    <n v="4.2599999999999999E-2"/>
  </r>
  <r>
    <x v="3"/>
    <x v="1"/>
    <x v="2"/>
    <n v="19"/>
    <n v="6"/>
    <n v="82.65"/>
    <n v="3"/>
    <n v="0.5"/>
    <n v="1469.62"/>
    <n v="3"/>
    <n v="3.0699999999999998E-2"/>
  </r>
  <r>
    <x v="4"/>
    <x v="1"/>
    <x v="2"/>
    <n v="77"/>
    <n v="14"/>
    <n v="494.43"/>
    <n v="4"/>
    <n v="0.2857142857142857"/>
    <n v="963.35"/>
    <n v="2"/>
    <n v="3.6699999999999997E-2"/>
  </r>
  <r>
    <x v="5"/>
    <x v="1"/>
    <x v="2"/>
    <n v="50"/>
    <n v="8"/>
    <n v="512.92999999999995"/>
    <n v="3"/>
    <n v="0.375"/>
    <n v="3725.66"/>
    <n v="1"/>
    <n v="1.1599999999999999E-2"/>
  </r>
  <r>
    <x v="6"/>
    <x v="1"/>
    <x v="2"/>
    <n v="88"/>
    <n v="18"/>
    <n v="291.04000000000002"/>
    <n v="2"/>
    <n v="0.1111111111111111"/>
    <n v="2619.84"/>
    <n v="3"/>
    <n v="0.10550000000000001"/>
  </r>
  <r>
    <x v="7"/>
    <x v="1"/>
    <x v="2"/>
    <n v="62"/>
    <n v="9"/>
    <n v="252.77"/>
    <n v="7"/>
    <n v="0.77777777777777779"/>
    <n v="4641.6099999999997"/>
    <n v="2"/>
    <n v="4.0800000000000003E-2"/>
  </r>
  <r>
    <x v="8"/>
    <x v="1"/>
    <x v="2"/>
    <n v="33"/>
    <n v="18"/>
    <n v="348.57"/>
    <n v="8"/>
    <n v="0.44444444444444442"/>
    <n v="1169.6400000000001"/>
    <n v="1"/>
    <n v="5.4800000000000001E-2"/>
  </r>
  <r>
    <x v="9"/>
    <x v="1"/>
    <x v="2"/>
    <n v="54"/>
    <n v="15"/>
    <n v="321.99"/>
    <n v="8"/>
    <n v="0.53333333333333333"/>
    <n v="1080.0899999999999"/>
    <n v="1"/>
    <n v="3.5499999999999997E-2"/>
  </r>
  <r>
    <x v="10"/>
    <x v="1"/>
    <x v="2"/>
    <n v="16"/>
    <n v="9"/>
    <n v="199.87"/>
    <n v="9"/>
    <n v="1"/>
    <n v="818.64"/>
    <n v="3"/>
    <n v="7.46E-2"/>
  </r>
  <r>
    <x v="11"/>
    <x v="1"/>
    <x v="2"/>
    <n v="30"/>
    <n v="5"/>
    <n v="565.19000000000005"/>
    <n v="4"/>
    <n v="0.8"/>
    <n v="3621.51"/>
    <n v="2"/>
    <n v="4.3099999999999999E-2"/>
  </r>
  <r>
    <x v="12"/>
    <x v="1"/>
    <x v="2"/>
    <n v="68"/>
    <n v="19"/>
    <n v="623.25"/>
    <n v="3"/>
    <n v="0.15789473684210525"/>
    <n v="355.96"/>
    <n v="1"/>
    <n v="3.6299999999999999E-2"/>
  </r>
  <r>
    <x v="13"/>
    <x v="1"/>
    <x v="2"/>
    <n v="31"/>
    <n v="9"/>
    <n v="209.18"/>
    <n v="2"/>
    <n v="0.22222222222222221"/>
    <n v="4153.3100000000004"/>
    <n v="3"/>
    <n v="4.0399999999999998E-2"/>
  </r>
  <r>
    <x v="14"/>
    <x v="1"/>
    <x v="2"/>
    <n v="61"/>
    <n v="7"/>
    <n v="190.5"/>
    <n v="3"/>
    <n v="0.42857142857142855"/>
    <n v="661.2"/>
    <n v="2"/>
    <n v="2.7699999999999999E-2"/>
  </r>
  <r>
    <x v="15"/>
    <x v="1"/>
    <x v="2"/>
    <n v="83"/>
    <n v="5"/>
    <n v="170.12"/>
    <n v="3"/>
    <n v="0.6"/>
    <n v="1171.95"/>
    <n v="1"/>
    <n v="7.690000000000001E-2"/>
  </r>
  <r>
    <x v="16"/>
    <x v="1"/>
    <x v="2"/>
    <n v="74"/>
    <n v="7"/>
    <n v="87.89"/>
    <n v="7"/>
    <n v="1"/>
    <n v="3848.14"/>
    <n v="3"/>
    <n v="8.6699999999999999E-2"/>
  </r>
  <r>
    <x v="17"/>
    <x v="1"/>
    <x v="2"/>
    <n v="21"/>
    <n v="14"/>
    <n v="498.82"/>
    <n v="5"/>
    <n v="0.35714285714285715"/>
    <n v="4039.26"/>
    <n v="2"/>
    <n v="3.4000000000000002E-2"/>
  </r>
  <r>
    <x v="18"/>
    <x v="2"/>
    <x v="2"/>
    <n v="84"/>
    <n v="15"/>
    <n v="163.21"/>
    <n v="5"/>
    <n v="0.33333333333333331"/>
    <n v="411.36"/>
    <n v="1"/>
    <n v="0.1014"/>
  </r>
  <r>
    <x v="19"/>
    <x v="2"/>
    <x v="2"/>
    <n v="64"/>
    <n v="13"/>
    <n v="496.4"/>
    <n v="0"/>
    <n v="0"/>
    <n v="1306.3800000000001"/>
    <n v="3"/>
    <n v="1.1000000000000001E-3"/>
  </r>
  <r>
    <x v="20"/>
    <x v="2"/>
    <x v="2"/>
    <n v="21"/>
    <n v="13"/>
    <n v="315.41000000000003"/>
    <n v="1"/>
    <n v="7.6923076923076927E-2"/>
    <n v="1692.59"/>
    <n v="2"/>
    <n v="5.0999999999999997E-2"/>
  </r>
  <r>
    <x v="21"/>
    <x v="2"/>
    <x v="2"/>
    <n v="110"/>
    <n v="6"/>
    <n v="535.37"/>
    <n v="2"/>
    <n v="0.33333333333333331"/>
    <n v="3113.29"/>
    <n v="1"/>
    <n v="3.2099999999999997E-2"/>
  </r>
  <r>
    <x v="22"/>
    <x v="2"/>
    <x v="2"/>
    <n v="62"/>
    <n v="8"/>
    <n v="198.84"/>
    <n v="8"/>
    <n v="1"/>
    <n v="534.58000000000004"/>
    <n v="3"/>
    <n v="8.8000000000000009E-2"/>
  </r>
  <r>
    <x v="23"/>
    <x v="2"/>
    <x v="2"/>
    <n v="108"/>
    <n v="14"/>
    <n v="416.78"/>
    <n v="1"/>
    <n v="7.1428571428571425E-2"/>
    <n v="2989.69"/>
    <n v="2"/>
    <n v="2.5499999999999998E-2"/>
  </r>
  <r>
    <x v="24"/>
    <x v="2"/>
    <x v="2"/>
    <n v="28"/>
    <n v="12"/>
    <n v="533.85"/>
    <n v="5"/>
    <n v="0.41666666666666669"/>
    <n v="224.87"/>
    <n v="1"/>
    <n v="6.480000000000001E-2"/>
  </r>
  <r>
    <x v="25"/>
    <x v="2"/>
    <x v="2"/>
    <n v="39"/>
    <n v="16"/>
    <n v="312.8"/>
    <n v="8"/>
    <n v="0.5"/>
    <n v="4592.09"/>
    <n v="3"/>
    <n v="8.5500000000000007E-2"/>
  </r>
  <r>
    <x v="0"/>
    <x v="2"/>
    <x v="3"/>
    <n v="69"/>
    <n v="17"/>
    <n v="342.81"/>
    <n v="6"/>
    <n v="0.35294117647058826"/>
    <n v="3728.2"/>
    <n v="2"/>
    <n v="2.9600000000000001E-2"/>
  </r>
  <r>
    <x v="1"/>
    <x v="2"/>
    <x v="3"/>
    <n v="83"/>
    <n v="11"/>
    <n v="365.12"/>
    <n v="5"/>
    <n v="0.45454545454545453"/>
    <n v="3682.69"/>
    <n v="1"/>
    <n v="3.8199999999999998E-2"/>
  </r>
  <r>
    <x v="2"/>
    <x v="2"/>
    <x v="3"/>
    <n v="41"/>
    <n v="14"/>
    <n v="416.88"/>
    <n v="2"/>
    <n v="0.14285714285714285"/>
    <n v="3638.83"/>
    <n v="3"/>
    <n v="4.41E-2"/>
  </r>
  <r>
    <x v="3"/>
    <x v="2"/>
    <x v="3"/>
    <n v="17"/>
    <n v="7"/>
    <n v="81.14"/>
    <n v="3"/>
    <n v="0.42857142857142855"/>
    <n v="1419.04"/>
    <n v="2"/>
    <n v="2.9399999999999999E-2"/>
  </r>
  <r>
    <x v="4"/>
    <x v="2"/>
    <x v="3"/>
    <n v="76"/>
    <n v="16"/>
    <n v="449.04"/>
    <n v="4"/>
    <n v="0.25"/>
    <n v="1019.97"/>
    <n v="1"/>
    <n v="3.8100000000000002E-2"/>
  </r>
  <r>
    <x v="5"/>
    <x v="2"/>
    <x v="3"/>
    <n v="72"/>
    <n v="6"/>
    <n v="508.55"/>
    <n v="3"/>
    <n v="0.5"/>
    <n v="3633.75"/>
    <n v="3"/>
    <n v="1.1399999999999999E-2"/>
  </r>
  <r>
    <x v="6"/>
    <x v="2"/>
    <x v="3"/>
    <n v="72"/>
    <n v="18"/>
    <n v="299.08999999999997"/>
    <n v="2"/>
    <n v="0.1111111111111111"/>
    <n v="2378.29"/>
    <n v="2"/>
    <n v="0.1052"/>
  </r>
  <r>
    <x v="7"/>
    <x v="2"/>
    <x v="3"/>
    <n v="44"/>
    <n v="6"/>
    <n v="246.21"/>
    <n v="5"/>
    <n v="0.83333333333333337"/>
    <n v="4155.8"/>
    <n v="1"/>
    <n v="4.3299999999999998E-2"/>
  </r>
  <r>
    <x v="8"/>
    <x v="2"/>
    <x v="3"/>
    <n v="29"/>
    <n v="16"/>
    <n v="412.07"/>
    <n v="10"/>
    <n v="0.625"/>
    <n v="1075.94"/>
    <n v="1"/>
    <n v="6.2400000000000004E-2"/>
  </r>
  <r>
    <x v="9"/>
    <x v="2"/>
    <x v="3"/>
    <n v="64"/>
    <n v="13"/>
    <n v="317.58"/>
    <n v="8"/>
    <n v="0.61538461538461542"/>
    <n v="1088.22"/>
    <n v="3"/>
    <n v="3.49E-2"/>
  </r>
  <r>
    <x v="10"/>
    <x v="2"/>
    <x v="3"/>
    <n v="16"/>
    <n v="7"/>
    <n v="181.58"/>
    <n v="6"/>
    <n v="0.8571428571428571"/>
    <n v="868.4"/>
    <n v="2"/>
    <n v="8.4100000000000008E-2"/>
  </r>
  <r>
    <x v="11"/>
    <x v="2"/>
    <x v="3"/>
    <n v="37"/>
    <n v="7"/>
    <n v="470.85"/>
    <n v="7"/>
    <n v="1"/>
    <n v="3483.6"/>
    <n v="1"/>
    <n v="4.2599999999999999E-2"/>
  </r>
  <r>
    <x v="12"/>
    <x v="2"/>
    <x v="3"/>
    <n v="81"/>
    <n v="16"/>
    <n v="584.29999999999995"/>
    <n v="3"/>
    <n v="0.1875"/>
    <n v="377.45"/>
    <n v="3"/>
    <n v="3.32E-2"/>
  </r>
  <r>
    <x v="13"/>
    <x v="2"/>
    <x v="3"/>
    <n v="26"/>
    <n v="6"/>
    <n v="231.59"/>
    <n v="2"/>
    <n v="0.33333333333333331"/>
    <n v="3988.15"/>
    <n v="2"/>
    <n v="3.8399999999999997E-2"/>
  </r>
  <r>
    <x v="14"/>
    <x v="3"/>
    <x v="3"/>
    <n v="69"/>
    <n v="9"/>
    <n v="221.01"/>
    <n v="3"/>
    <n v="0.33333333333333331"/>
    <n v="643.44000000000005"/>
    <n v="1"/>
    <n v="3.2000000000000001E-2"/>
  </r>
  <r>
    <x v="15"/>
    <x v="3"/>
    <x v="3"/>
    <n v="103"/>
    <n v="6"/>
    <n v="165.74"/>
    <n v="6"/>
    <n v="1"/>
    <n v="1169.3800000000001"/>
    <n v="3"/>
    <n v="7.7699999999999991E-2"/>
  </r>
  <r>
    <x v="16"/>
    <x v="3"/>
    <x v="3"/>
    <n v="100"/>
    <n v="7"/>
    <n v="82.62"/>
    <n v="6"/>
    <n v="0.8571428571428571"/>
    <n v="4085.91"/>
    <n v="2"/>
    <n v="9.0500000000000011E-2"/>
  </r>
  <r>
    <x v="17"/>
    <x v="3"/>
    <x v="3"/>
    <n v="26"/>
    <n v="17"/>
    <n v="526.34"/>
    <n v="6"/>
    <n v="0.35294117647058826"/>
    <n v="3360.11"/>
    <n v="1"/>
    <n v="3.0600000000000002E-2"/>
  </r>
  <r>
    <x v="18"/>
    <x v="3"/>
    <x v="3"/>
    <n v="104"/>
    <n v="22"/>
    <n v="190.87"/>
    <n v="4"/>
    <n v="0.18181818181818182"/>
    <n v="433.41"/>
    <n v="3"/>
    <n v="9.3599999999999989E-2"/>
  </r>
  <r>
    <x v="19"/>
    <x v="3"/>
    <x v="3"/>
    <n v="63"/>
    <n v="11"/>
    <n v="554.51"/>
    <n v="1"/>
    <n v="9.0909090909090912E-2"/>
    <n v="1138.51"/>
    <n v="2"/>
    <n v="1E-3"/>
  </r>
  <r>
    <x v="20"/>
    <x v="3"/>
    <x v="3"/>
    <n v="22"/>
    <n v="13"/>
    <n v="302.49"/>
    <n v="2"/>
    <n v="0.15384615384615385"/>
    <n v="1591.45"/>
    <n v="3"/>
    <n v="4.9599999999999998E-2"/>
  </r>
  <r>
    <x v="21"/>
    <x v="3"/>
    <x v="3"/>
    <n v="91"/>
    <n v="5"/>
    <n v="605.11"/>
    <n v="2"/>
    <n v="0.4"/>
    <n v="3499.88"/>
    <n v="2"/>
    <n v="3.0200000000000001E-2"/>
  </r>
  <r>
    <x v="22"/>
    <x v="3"/>
    <x v="3"/>
    <n v="77"/>
    <n v="8"/>
    <n v="173.88"/>
    <n v="6"/>
    <n v="0.75"/>
    <n v="462.44"/>
    <n v="1"/>
    <n v="7.9899999999999999E-2"/>
  </r>
  <r>
    <x v="23"/>
    <x v="3"/>
    <x v="3"/>
    <n v="90"/>
    <n v="17"/>
    <n v="366.84"/>
    <n v="0"/>
    <n v="0"/>
    <n v="3153.56"/>
    <n v="3"/>
    <n v="2.4500000000000001E-2"/>
  </r>
  <r>
    <x v="24"/>
    <x v="3"/>
    <x v="3"/>
    <n v="33"/>
    <n v="9"/>
    <n v="578.41999999999996"/>
    <n v="4"/>
    <n v="0.44444444444444442"/>
    <n v="229.72"/>
    <n v="2"/>
    <n v="7.46E-2"/>
  </r>
  <r>
    <x v="25"/>
    <x v="3"/>
    <x v="3"/>
    <n v="42"/>
    <n v="14"/>
    <n v="321.29000000000002"/>
    <n v="7"/>
    <n v="0.5"/>
    <n v="4298.2700000000004"/>
    <n v="1"/>
    <n v="7.4499999999999997E-2"/>
  </r>
  <r>
    <x v="0"/>
    <x v="3"/>
    <x v="4"/>
    <n v="69"/>
    <n v="16"/>
    <n v="299.22000000000003"/>
    <n v="6"/>
    <n v="0.375"/>
    <n v="3716.14"/>
    <n v="3"/>
    <n v="2.63E-2"/>
  </r>
  <r>
    <x v="1"/>
    <x v="3"/>
    <x v="4"/>
    <n v="68"/>
    <n v="11"/>
    <n v="345.62"/>
    <n v="4"/>
    <n v="0.36363636363636365"/>
    <n v="3558.13"/>
    <n v="2"/>
    <n v="4.0800000000000003E-2"/>
  </r>
  <r>
    <x v="2"/>
    <x v="3"/>
    <x v="4"/>
    <n v="45"/>
    <n v="17"/>
    <n v="416.96"/>
    <n v="3"/>
    <n v="0.17647058823529413"/>
    <n v="3327.07"/>
    <n v="1"/>
    <n v="4.0999999999999995E-2"/>
  </r>
  <r>
    <x v="3"/>
    <x v="3"/>
    <x v="4"/>
    <n v="17"/>
    <n v="8"/>
    <n v="72.05"/>
    <n v="3"/>
    <n v="0.375"/>
    <n v="1672.82"/>
    <n v="3"/>
    <n v="3.0299999999999997E-2"/>
  </r>
  <r>
    <x v="4"/>
    <x v="3"/>
    <x v="4"/>
    <n v="85"/>
    <n v="13"/>
    <n v="475.61"/>
    <n v="5"/>
    <n v="0.38461538461538464"/>
    <n v="939.32"/>
    <n v="2"/>
    <n v="3.6400000000000002E-2"/>
  </r>
  <r>
    <x v="5"/>
    <x v="3"/>
    <x v="4"/>
    <n v="49"/>
    <n v="7"/>
    <n v="469.53"/>
    <n v="3"/>
    <n v="0.42857142857142855"/>
    <n v="3623.32"/>
    <n v="1"/>
    <n v="1.21E-2"/>
  </r>
  <r>
    <x v="6"/>
    <x v="3"/>
    <x v="4"/>
    <n v="66"/>
    <n v="15"/>
    <n v="333.1"/>
    <n v="2"/>
    <n v="0.13333333333333333"/>
    <n v="2631.58"/>
    <n v="1"/>
    <n v="0.10249999999999999"/>
  </r>
  <r>
    <x v="7"/>
    <x v="3"/>
    <x v="4"/>
    <n v="63"/>
    <n v="9"/>
    <n v="258.11"/>
    <n v="7"/>
    <n v="0.77777777777777779"/>
    <n v="4064.36"/>
    <n v="3"/>
    <n v="4.1599999999999998E-2"/>
  </r>
  <r>
    <x v="8"/>
    <x v="3"/>
    <x v="4"/>
    <n v="31"/>
    <n v="20"/>
    <n v="400.8"/>
    <n v="8"/>
    <n v="0.4"/>
    <n v="1294.3599999999999"/>
    <n v="2"/>
    <n v="5.6399999999999999E-2"/>
  </r>
  <r>
    <x v="9"/>
    <x v="3"/>
    <x v="4"/>
    <n v="75"/>
    <n v="19"/>
    <n v="343.28"/>
    <n v="9"/>
    <n v="0.47368421052631576"/>
    <n v="899.46"/>
    <n v="1"/>
    <n v="3.2199999999999999E-2"/>
  </r>
  <r>
    <x v="10"/>
    <x v="3"/>
    <x v="4"/>
    <n v="18"/>
    <n v="7"/>
    <n v="204.63"/>
    <n v="7"/>
    <n v="1"/>
    <n v="789.77"/>
    <n v="3"/>
    <n v="7.4499999999999997E-2"/>
  </r>
  <r>
    <x v="11"/>
    <x v="3"/>
    <x v="4"/>
    <n v="35"/>
    <n v="6"/>
    <n v="553.11"/>
    <n v="4"/>
    <n v="0.66666666666666663"/>
    <n v="3867.67"/>
    <n v="2"/>
    <n v="3.8300000000000001E-2"/>
  </r>
  <r>
    <x v="12"/>
    <x v="3"/>
    <x v="4"/>
    <n v="74"/>
    <n v="20"/>
    <n v="623.33000000000004"/>
    <n v="2"/>
    <n v="0.1"/>
    <n v="359.97"/>
    <n v="1"/>
    <n v="3.8399999999999997E-2"/>
  </r>
  <r>
    <x v="13"/>
    <x v="3"/>
    <x v="4"/>
    <n v="26"/>
    <n v="7"/>
    <n v="200.45"/>
    <n v="1"/>
    <n v="0.14285714285714285"/>
    <n v="3797.35"/>
    <n v="3"/>
    <n v="4.1399999999999999E-2"/>
  </r>
  <r>
    <x v="14"/>
    <x v="3"/>
    <x v="4"/>
    <n v="50"/>
    <n v="7"/>
    <n v="196.2"/>
    <n v="2"/>
    <n v="0.2857142857142857"/>
    <n v="592.71"/>
    <n v="2"/>
    <n v="2.76E-2"/>
  </r>
  <r>
    <x v="15"/>
    <x v="3"/>
    <x v="4"/>
    <n v="97"/>
    <n v="5"/>
    <n v="185.62"/>
    <n v="4"/>
    <n v="0.8"/>
    <n v="1282.81"/>
    <n v="1"/>
    <n v="7.22E-2"/>
  </r>
  <r>
    <x v="16"/>
    <x v="3"/>
    <x v="4"/>
    <n v="91"/>
    <n v="7"/>
    <n v="89.39"/>
    <n v="6"/>
    <n v="0.8571428571428571"/>
    <n v="3971.59"/>
    <n v="3"/>
    <n v="9.0700000000000003E-2"/>
  </r>
  <r>
    <x v="17"/>
    <x v="3"/>
    <x v="4"/>
    <n v="21"/>
    <n v="14"/>
    <n v="472.79"/>
    <n v="8"/>
    <n v="0.5714285714285714"/>
    <n v="3830.32"/>
    <n v="2"/>
    <n v="3.5200000000000002E-2"/>
  </r>
  <r>
    <x v="18"/>
    <x v="3"/>
    <x v="4"/>
    <n v="91"/>
    <n v="15"/>
    <n v="173.03"/>
    <n v="4"/>
    <n v="0.26666666666666666"/>
    <n v="386.08"/>
    <n v="1"/>
    <n v="9.820000000000001E-2"/>
  </r>
  <r>
    <x v="19"/>
    <x v="3"/>
    <x v="4"/>
    <n v="67"/>
    <n v="15"/>
    <n v="499.68"/>
    <n v="0"/>
    <n v="0"/>
    <n v="1287.1300000000001"/>
    <n v="3"/>
    <n v="1E-3"/>
  </r>
  <r>
    <x v="20"/>
    <x v="3"/>
    <x v="4"/>
    <n v="19"/>
    <n v="13"/>
    <n v="316.23"/>
    <n v="1"/>
    <n v="7.6923076923076927E-2"/>
    <n v="1598.49"/>
    <n v="2"/>
    <n v="5.8299999999999998E-2"/>
  </r>
  <r>
    <x v="21"/>
    <x v="3"/>
    <x v="4"/>
    <n v="105"/>
    <n v="6"/>
    <n v="567.03"/>
    <n v="1"/>
    <n v="0.16666666666666666"/>
    <n v="3496.65"/>
    <n v="1"/>
    <n v="3.0600000000000002E-2"/>
  </r>
  <r>
    <x v="22"/>
    <x v="3"/>
    <x v="4"/>
    <n v="73"/>
    <n v="8"/>
    <n v="175.52"/>
    <n v="7"/>
    <n v="0.875"/>
    <n v="455.32"/>
    <n v="3"/>
    <n v="9.35E-2"/>
  </r>
  <r>
    <x v="23"/>
    <x v="3"/>
    <x v="4"/>
    <n v="111"/>
    <n v="13"/>
    <n v="358.31"/>
    <n v="0"/>
    <n v="0"/>
    <n v="2811.77"/>
    <n v="2"/>
    <n v="2.7099999999999999E-2"/>
  </r>
  <r>
    <x v="24"/>
    <x v="3"/>
    <x v="4"/>
    <n v="38"/>
    <n v="12"/>
    <n v="556.33000000000004"/>
    <n v="4"/>
    <n v="0.33333333333333331"/>
    <n v="241.08"/>
    <n v="1"/>
    <n v="7.0599999999999996E-2"/>
  </r>
  <r>
    <x v="25"/>
    <x v="3"/>
    <x v="4"/>
    <n v="33"/>
    <n v="17"/>
    <n v="371.65"/>
    <n v="9"/>
    <n v="0.52941176470588236"/>
    <n v="4068.75"/>
    <n v="3"/>
    <n v="8.5500000000000007E-2"/>
  </r>
  <r>
    <x v="0"/>
    <x v="3"/>
    <x v="5"/>
    <n v="59"/>
    <n v="16"/>
    <n v="359.47"/>
    <n v="7"/>
    <n v="0.4375"/>
    <n v="3958.94"/>
    <n v="2"/>
    <n v="2.46E-2"/>
  </r>
  <r>
    <x v="1"/>
    <x v="3"/>
    <x v="5"/>
    <n v="71"/>
    <n v="11"/>
    <n v="379.33"/>
    <n v="4"/>
    <n v="0.36363636363636365"/>
    <n v="4003.52"/>
    <n v="1"/>
    <n v="4.2900000000000001E-2"/>
  </r>
  <r>
    <x v="2"/>
    <x v="3"/>
    <x v="5"/>
    <n v="48"/>
    <n v="14"/>
    <n v="383.94"/>
    <n v="3"/>
    <n v="0.21428571428571427"/>
    <n v="3173.36"/>
    <n v="3"/>
    <n v="4.0999999999999995E-2"/>
  </r>
  <r>
    <x v="3"/>
    <x v="3"/>
    <x v="5"/>
    <n v="18"/>
    <n v="7"/>
    <n v="85.32"/>
    <n v="3"/>
    <n v="0.42857142857142855"/>
    <n v="1431.69"/>
    <n v="2"/>
    <n v="3.1600000000000003E-2"/>
  </r>
  <r>
    <x v="4"/>
    <x v="3"/>
    <x v="5"/>
    <n v="93"/>
    <n v="14"/>
    <n v="466.81"/>
    <n v="5"/>
    <n v="0.35714285714285715"/>
    <n v="988.98"/>
    <n v="1"/>
    <n v="4.2300000000000004E-2"/>
  </r>
  <r>
    <x v="5"/>
    <x v="4"/>
    <x v="5"/>
    <n v="49"/>
    <n v="7"/>
    <n v="512.88"/>
    <n v="2"/>
    <n v="0.2857142857142857"/>
    <n v="3545.66"/>
    <n v="1"/>
    <n v="1.2699999999999999E-2"/>
  </r>
  <r>
    <x v="6"/>
    <x v="4"/>
    <x v="5"/>
    <n v="85"/>
    <n v="17"/>
    <n v="324.56"/>
    <n v="3"/>
    <n v="0.17647058823529413"/>
    <n v="2420.5300000000002"/>
    <n v="3"/>
    <n v="8.929999999999999E-2"/>
  </r>
  <r>
    <x v="7"/>
    <x v="4"/>
    <x v="5"/>
    <n v="61"/>
    <n v="7"/>
    <n v="219.53"/>
    <n v="7"/>
    <n v="1"/>
    <n v="3860.12"/>
    <n v="2"/>
    <n v="4.3499999999999997E-2"/>
  </r>
  <r>
    <x v="8"/>
    <x v="4"/>
    <x v="5"/>
    <n v="30"/>
    <n v="16"/>
    <n v="353.65"/>
    <n v="9"/>
    <n v="0.5625"/>
    <n v="1213.5899999999999"/>
    <n v="1"/>
    <n v="6.2E-2"/>
  </r>
  <r>
    <x v="9"/>
    <x v="4"/>
    <x v="5"/>
    <n v="54"/>
    <n v="16"/>
    <n v="334.41"/>
    <n v="9"/>
    <n v="0.5625"/>
    <n v="1056.98"/>
    <n v="3"/>
    <n v="3.5200000000000002E-2"/>
  </r>
  <r>
    <x v="10"/>
    <x v="4"/>
    <x v="5"/>
    <n v="19"/>
    <n v="7"/>
    <n v="199.46"/>
    <n v="7"/>
    <n v="1"/>
    <n v="809.56"/>
    <n v="2"/>
    <n v="7.1399999999999991E-2"/>
  </r>
  <r>
    <x v="11"/>
    <x v="4"/>
    <x v="5"/>
    <n v="40"/>
    <n v="6"/>
    <n v="509.67"/>
    <n v="4"/>
    <n v="0.66666666666666663"/>
    <n v="3330.44"/>
    <n v="1"/>
    <n v="3.8300000000000001E-2"/>
  </r>
  <r>
    <x v="12"/>
    <x v="4"/>
    <x v="5"/>
    <n v="73"/>
    <n v="21"/>
    <n v="601.02"/>
    <n v="2"/>
    <n v="9.5238095238095233E-2"/>
    <n v="364.56"/>
    <n v="3"/>
    <n v="3.4300000000000004E-2"/>
  </r>
  <r>
    <x v="13"/>
    <x v="4"/>
    <x v="5"/>
    <n v="36"/>
    <n v="9"/>
    <n v="196.74"/>
    <n v="1"/>
    <n v="0.1111111111111111"/>
    <n v="3760.57"/>
    <n v="2"/>
    <n v="3.9800000000000002E-2"/>
  </r>
  <r>
    <x v="14"/>
    <x v="4"/>
    <x v="5"/>
    <n v="58"/>
    <n v="8"/>
    <n v="196.58"/>
    <n v="3"/>
    <n v="0.375"/>
    <n v="692.47"/>
    <n v="1"/>
    <n v="3.27E-2"/>
  </r>
  <r>
    <x v="15"/>
    <x v="4"/>
    <x v="5"/>
    <n v="100"/>
    <n v="5"/>
    <n v="153.87"/>
    <n v="2"/>
    <n v="0.4"/>
    <n v="1190.24"/>
    <n v="3"/>
    <n v="8.0600000000000005E-2"/>
  </r>
  <r>
    <x v="16"/>
    <x v="4"/>
    <x v="5"/>
    <n v="93"/>
    <n v="5"/>
    <n v="85.65"/>
    <n v="5"/>
    <n v="1"/>
    <n v="3913.17"/>
    <n v="2"/>
    <n v="9.5700000000000007E-2"/>
  </r>
  <r>
    <x v="17"/>
    <x v="4"/>
    <x v="5"/>
    <n v="28"/>
    <n v="16"/>
    <n v="506.95"/>
    <n v="6"/>
    <n v="0.375"/>
    <n v="3993.03"/>
    <n v="3"/>
    <n v="3.0600000000000002E-2"/>
  </r>
  <r>
    <x v="18"/>
    <x v="4"/>
    <x v="5"/>
    <n v="88"/>
    <n v="18"/>
    <n v="181.21"/>
    <n v="4"/>
    <n v="0.22222222222222221"/>
    <n v="377.13"/>
    <n v="2"/>
    <n v="0.10009999999999999"/>
  </r>
  <r>
    <x v="19"/>
    <x v="4"/>
    <x v="5"/>
    <n v="69"/>
    <n v="16"/>
    <n v="495.32"/>
    <n v="0"/>
    <n v="0"/>
    <n v="1262.99"/>
    <n v="1"/>
    <n v="1E-3"/>
  </r>
  <r>
    <x v="20"/>
    <x v="4"/>
    <x v="5"/>
    <n v="21"/>
    <n v="16"/>
    <n v="315.91000000000003"/>
    <n v="1"/>
    <n v="6.25E-2"/>
    <n v="1455.83"/>
    <n v="3"/>
    <n v="5.1299999999999998E-2"/>
  </r>
  <r>
    <x v="21"/>
    <x v="4"/>
    <x v="5"/>
    <n v="92"/>
    <n v="5"/>
    <n v="569.75"/>
    <n v="2"/>
    <n v="0.4"/>
    <n v="3734.43"/>
    <n v="2"/>
    <n v="2.76E-2"/>
  </r>
  <r>
    <x v="22"/>
    <x v="4"/>
    <x v="5"/>
    <n v="58"/>
    <n v="7"/>
    <n v="173.24"/>
    <n v="7"/>
    <n v="1"/>
    <n v="525.73"/>
    <n v="1"/>
    <n v="8.2299999999999998E-2"/>
  </r>
  <r>
    <x v="23"/>
    <x v="4"/>
    <x v="5"/>
    <n v="114"/>
    <n v="13"/>
    <n v="364.35"/>
    <n v="0"/>
    <n v="0"/>
    <n v="2988.28"/>
    <n v="3"/>
    <n v="2.58E-2"/>
  </r>
  <r>
    <x v="24"/>
    <x v="4"/>
    <x v="5"/>
    <n v="35"/>
    <n v="12"/>
    <n v="515.24"/>
    <n v="5"/>
    <n v="0.41666666666666669"/>
    <n v="224.24"/>
    <n v="2"/>
    <n v="6.9800000000000001E-2"/>
  </r>
  <r>
    <x v="25"/>
    <x v="4"/>
    <x v="5"/>
    <n v="35"/>
    <n v="16"/>
    <n v="351.71"/>
    <n v="9"/>
    <n v="0.5625"/>
    <n v="3984.69"/>
    <n v="1"/>
    <n v="7.4099999999999999E-2"/>
  </r>
  <r>
    <x v="0"/>
    <x v="4"/>
    <x v="6"/>
    <n v="71"/>
    <n v="17"/>
    <n v="360.1"/>
    <n v="6"/>
    <n v="0.35294117647058826"/>
    <n v="4444.83"/>
    <n v="3"/>
    <n v="2.9500000000000002E-2"/>
  </r>
  <r>
    <x v="1"/>
    <x v="4"/>
    <x v="6"/>
    <n v="62"/>
    <n v="13"/>
    <n v="364.64"/>
    <n v="4"/>
    <n v="0.30769230769230771"/>
    <n v="3704.33"/>
    <n v="2"/>
    <n v="3.7499999999999999E-2"/>
  </r>
  <r>
    <x v="2"/>
    <x v="4"/>
    <x v="6"/>
    <n v="53"/>
    <n v="14"/>
    <n v="367.56"/>
    <n v="2"/>
    <n v="0.14285714285714285"/>
    <n v="3514.07"/>
    <n v="1"/>
    <n v="4.0099999999999997E-2"/>
  </r>
  <r>
    <x v="3"/>
    <x v="4"/>
    <x v="6"/>
    <n v="18"/>
    <n v="6"/>
    <n v="76.27"/>
    <n v="4"/>
    <n v="0.66666666666666663"/>
    <n v="1597.98"/>
    <n v="1"/>
    <n v="2.81E-2"/>
  </r>
  <r>
    <x v="4"/>
    <x v="4"/>
    <x v="6"/>
    <n v="71"/>
    <n v="12"/>
    <n v="487.04"/>
    <n v="5"/>
    <n v="0.41666666666666669"/>
    <n v="1004.9"/>
    <n v="3"/>
    <n v="4.2099999999999999E-2"/>
  </r>
  <r>
    <x v="5"/>
    <x v="4"/>
    <x v="6"/>
    <n v="70"/>
    <n v="5"/>
    <n v="491.31"/>
    <n v="3"/>
    <n v="0.6"/>
    <n v="3289.06"/>
    <n v="2"/>
    <n v="1.1299999999999999E-2"/>
  </r>
  <r>
    <x v="6"/>
    <x v="4"/>
    <x v="6"/>
    <n v="77"/>
    <n v="15"/>
    <n v="282.58999999999997"/>
    <n v="2"/>
    <n v="0.13333333333333333"/>
    <n v="2296.14"/>
    <n v="1"/>
    <n v="9.5799999999999996E-2"/>
  </r>
  <r>
    <x v="7"/>
    <x v="4"/>
    <x v="6"/>
    <n v="50"/>
    <n v="9"/>
    <n v="246.06"/>
    <n v="5"/>
    <n v="0.55555555555555558"/>
    <n v="4227.22"/>
    <n v="3"/>
    <n v="3.7200000000000004E-2"/>
  </r>
  <r>
    <x v="8"/>
    <x v="4"/>
    <x v="6"/>
    <n v="31"/>
    <n v="15"/>
    <n v="347.38"/>
    <n v="10"/>
    <n v="0.66666666666666663"/>
    <n v="1101.06"/>
    <n v="2"/>
    <n v="6.0100000000000001E-2"/>
  </r>
  <r>
    <x v="9"/>
    <x v="4"/>
    <x v="6"/>
    <n v="77"/>
    <n v="16"/>
    <n v="335.59"/>
    <n v="7"/>
    <n v="0.4375"/>
    <n v="1087.4100000000001"/>
    <n v="1"/>
    <n v="3.6900000000000002E-2"/>
  </r>
  <r>
    <x v="10"/>
    <x v="4"/>
    <x v="6"/>
    <n v="17"/>
    <n v="8"/>
    <n v="208.21"/>
    <n v="4"/>
    <n v="0.5"/>
    <n v="828.73"/>
    <n v="3"/>
    <n v="7.4200000000000002E-2"/>
  </r>
  <r>
    <x v="11"/>
    <x v="4"/>
    <x v="6"/>
    <n v="32"/>
    <n v="6"/>
    <n v="553.58000000000004"/>
    <n v="3"/>
    <n v="0.5"/>
    <n v="3939.56"/>
    <n v="2"/>
    <n v="3.78E-2"/>
  </r>
  <r>
    <x v="12"/>
    <x v="4"/>
    <x v="6"/>
    <n v="72"/>
    <n v="21"/>
    <n v="604.57000000000005"/>
    <n v="2"/>
    <n v="9.5238095238095233E-2"/>
    <n v="327.82"/>
    <n v="1"/>
    <n v="3.6699999999999997E-2"/>
  </r>
  <r>
    <x v="13"/>
    <x v="4"/>
    <x v="6"/>
    <n v="34"/>
    <n v="7"/>
    <n v="199.39"/>
    <n v="1"/>
    <n v="0.14285714285714285"/>
    <n v="3767.74"/>
    <n v="3"/>
    <n v="3.85E-2"/>
  </r>
  <r>
    <x v="14"/>
    <x v="4"/>
    <x v="6"/>
    <n v="71"/>
    <n v="9"/>
    <n v="220.4"/>
    <n v="2"/>
    <n v="0.22222222222222221"/>
    <n v="692.29"/>
    <n v="2"/>
    <n v="2.8999999999999998E-2"/>
  </r>
  <r>
    <x v="15"/>
    <x v="4"/>
    <x v="6"/>
    <n v="83"/>
    <n v="5"/>
    <n v="166.85"/>
    <n v="4"/>
    <n v="0.8"/>
    <n v="1364.24"/>
    <n v="1"/>
    <n v="8.3100000000000007E-2"/>
  </r>
  <r>
    <x v="16"/>
    <x v="4"/>
    <x v="6"/>
    <n v="71"/>
    <n v="7"/>
    <n v="78.53"/>
    <n v="4"/>
    <n v="0.5714285714285714"/>
    <n v="3652.64"/>
    <n v="3"/>
    <n v="8.6999999999999994E-2"/>
  </r>
  <r>
    <x v="17"/>
    <x v="4"/>
    <x v="6"/>
    <n v="24"/>
    <n v="13"/>
    <n v="471.72"/>
    <n v="7"/>
    <n v="0.53846153846153844"/>
    <n v="3588.89"/>
    <n v="2"/>
    <n v="3.5400000000000001E-2"/>
  </r>
  <r>
    <x v="18"/>
    <x v="4"/>
    <x v="6"/>
    <n v="75"/>
    <n v="17"/>
    <n v="176.07"/>
    <n v="5"/>
    <n v="0.29411764705882354"/>
    <n v="458.18"/>
    <n v="1"/>
    <n v="9.9399999999999988E-2"/>
  </r>
  <r>
    <x v="19"/>
    <x v="4"/>
    <x v="6"/>
    <n v="76"/>
    <n v="11"/>
    <n v="486.93"/>
    <n v="0"/>
    <n v="0"/>
    <n v="1219.29"/>
    <n v="3"/>
    <n v="1E-3"/>
  </r>
  <r>
    <x v="20"/>
    <x v="4"/>
    <x v="6"/>
    <n v="20"/>
    <n v="14"/>
    <n v="283.66000000000003"/>
    <n v="2"/>
    <n v="0.14285714285714285"/>
    <n v="1494.14"/>
    <n v="2"/>
    <n v="5.7800000000000004E-2"/>
  </r>
  <r>
    <x v="21"/>
    <x v="4"/>
    <x v="6"/>
    <n v="79"/>
    <n v="6"/>
    <n v="536.04999999999995"/>
    <n v="1"/>
    <n v="0.16666666666666666"/>
    <n v="3682.29"/>
    <n v="1"/>
    <n v="3.2099999999999997E-2"/>
  </r>
  <r>
    <x v="22"/>
    <x v="4"/>
    <x v="6"/>
    <n v="82"/>
    <n v="9"/>
    <n v="171.86"/>
    <n v="7"/>
    <n v="0.77777777777777779"/>
    <n v="506.88"/>
    <n v="3"/>
    <n v="9.4100000000000003E-2"/>
  </r>
  <r>
    <x v="23"/>
    <x v="4"/>
    <x v="6"/>
    <n v="103"/>
    <n v="15"/>
    <n v="359.16"/>
    <n v="1"/>
    <n v="6.6666666666666666E-2"/>
    <n v="2949.94"/>
    <n v="2"/>
    <n v="2.3599999999999999E-2"/>
  </r>
  <r>
    <x v="24"/>
    <x v="4"/>
    <x v="6"/>
    <n v="41"/>
    <n v="9"/>
    <n v="569.97"/>
    <n v="5"/>
    <n v="0.55555555555555558"/>
    <n v="259.86"/>
    <n v="1"/>
    <n v="6.3299999999999995E-2"/>
  </r>
  <r>
    <x v="25"/>
    <x v="4"/>
    <x v="6"/>
    <n v="38"/>
    <n v="14"/>
    <n v="359.22"/>
    <n v="8"/>
    <n v="0.5714285714285714"/>
    <n v="3846.34"/>
    <n v="3"/>
    <n v="8.5900000000000004E-2"/>
  </r>
  <r>
    <x v="0"/>
    <x v="4"/>
    <x v="7"/>
    <n v="71"/>
    <n v="15"/>
    <n v="297.05"/>
    <n v="6"/>
    <n v="0.4"/>
    <n v="4043.62"/>
    <n v="2"/>
    <n v="2.7200000000000002E-2"/>
  </r>
  <r>
    <x v="1"/>
    <x v="4"/>
    <x v="7"/>
    <n v="66"/>
    <n v="13"/>
    <n v="376.76"/>
    <n v="5"/>
    <n v="0.38461538461538464"/>
    <n v="3819.73"/>
    <n v="1"/>
    <n v="4.4900000000000002E-2"/>
  </r>
  <r>
    <x v="2"/>
    <x v="4"/>
    <x v="7"/>
    <n v="53"/>
    <n v="15"/>
    <n v="379.29"/>
    <n v="2"/>
    <n v="0.13333333333333333"/>
    <n v="3409.69"/>
    <n v="1"/>
    <n v="4.41E-2"/>
  </r>
  <r>
    <x v="3"/>
    <x v="4"/>
    <x v="7"/>
    <n v="18"/>
    <n v="8"/>
    <n v="82.91"/>
    <n v="3"/>
    <n v="0.375"/>
    <n v="1387.86"/>
    <n v="3"/>
    <n v="3.0099999999999998E-2"/>
  </r>
  <r>
    <x v="4"/>
    <x v="4"/>
    <x v="7"/>
    <n v="72"/>
    <n v="14"/>
    <n v="437.47"/>
    <n v="4"/>
    <n v="0.2857142857142857"/>
    <n v="958.02"/>
    <n v="2"/>
    <n v="3.9100000000000003E-2"/>
  </r>
  <r>
    <x v="5"/>
    <x v="4"/>
    <x v="7"/>
    <n v="64"/>
    <n v="7"/>
    <n v="554.20000000000005"/>
    <n v="2"/>
    <n v="0.2857142857142857"/>
    <n v="3620.9"/>
    <n v="1"/>
    <n v="1.23E-2"/>
  </r>
  <r>
    <x v="6"/>
    <x v="4"/>
    <x v="7"/>
    <n v="76"/>
    <n v="21"/>
    <n v="293.93"/>
    <n v="2"/>
    <n v="9.5238095238095233E-2"/>
    <n v="2531.4"/>
    <n v="3"/>
    <n v="0.1012"/>
  </r>
  <r>
    <x v="7"/>
    <x v="4"/>
    <x v="7"/>
    <n v="64"/>
    <n v="9"/>
    <n v="255.17"/>
    <n v="6"/>
    <n v="0.66666666666666663"/>
    <n v="4136.6899999999996"/>
    <n v="2"/>
    <n v="3.8199999999999998E-2"/>
  </r>
  <r>
    <x v="8"/>
    <x v="4"/>
    <x v="7"/>
    <n v="26"/>
    <n v="17"/>
    <n v="391.73"/>
    <n v="7"/>
    <n v="0.41176470588235292"/>
    <n v="1166.55"/>
    <n v="1"/>
    <n v="6.1200000000000004E-2"/>
  </r>
  <r>
    <x v="9"/>
    <x v="4"/>
    <x v="7"/>
    <n v="65"/>
    <n v="13"/>
    <n v="324.26"/>
    <n v="7"/>
    <n v="0.53846153846153844"/>
    <n v="1044.8599999999999"/>
    <n v="3"/>
    <n v="3.5200000000000002E-2"/>
  </r>
  <r>
    <x v="10"/>
    <x v="4"/>
    <x v="7"/>
    <n v="22"/>
    <n v="9"/>
    <n v="211.28"/>
    <n v="8"/>
    <n v="0.88888888888888884"/>
    <n v="772.77"/>
    <n v="2"/>
    <n v="8.0600000000000005E-2"/>
  </r>
  <r>
    <x v="11"/>
    <x v="4"/>
    <x v="7"/>
    <n v="30"/>
    <n v="6"/>
    <n v="549.26"/>
    <n v="2"/>
    <n v="0.33333333333333331"/>
    <n v="3868.36"/>
    <n v="1"/>
    <n v="4.2800000000000005E-2"/>
  </r>
  <r>
    <x v="12"/>
    <x v="4"/>
    <x v="7"/>
    <n v="83"/>
    <n v="15"/>
    <n v="601.05999999999995"/>
    <n v="3"/>
    <n v="0.2"/>
    <n v="350.62"/>
    <n v="3"/>
    <n v="3.6600000000000001E-2"/>
  </r>
  <r>
    <x v="13"/>
    <x v="4"/>
    <x v="7"/>
    <n v="35"/>
    <n v="6"/>
    <n v="192.19"/>
    <n v="1"/>
    <n v="0.16666666666666666"/>
    <n v="3963.32"/>
    <n v="2"/>
    <n v="3.9800000000000002E-2"/>
  </r>
  <r>
    <x v="14"/>
    <x v="4"/>
    <x v="7"/>
    <n v="73"/>
    <n v="8"/>
    <n v="191.76"/>
    <n v="3"/>
    <n v="0.375"/>
    <n v="675.97"/>
    <n v="3"/>
    <n v="3.0200000000000001E-2"/>
  </r>
  <r>
    <x v="15"/>
    <x v="4"/>
    <x v="7"/>
    <n v="104"/>
    <n v="4"/>
    <n v="169.75"/>
    <n v="3"/>
    <n v="0.75"/>
    <n v="1255.83"/>
    <n v="2"/>
    <n v="7.7600000000000002E-2"/>
  </r>
  <r>
    <x v="16"/>
    <x v="4"/>
    <x v="7"/>
    <n v="71"/>
    <n v="6"/>
    <n v="87.5"/>
    <n v="3"/>
    <n v="0.5"/>
    <n v="3666.64"/>
    <n v="1"/>
    <n v="9.1300000000000006E-2"/>
  </r>
  <r>
    <x v="17"/>
    <x v="4"/>
    <x v="7"/>
    <n v="22"/>
    <n v="14"/>
    <n v="477.3"/>
    <n v="6"/>
    <n v="0.42857142857142855"/>
    <n v="3790.05"/>
    <n v="3"/>
    <n v="3.32E-2"/>
  </r>
  <r>
    <x v="18"/>
    <x v="4"/>
    <x v="7"/>
    <n v="85"/>
    <n v="17"/>
    <n v="187.72"/>
    <n v="5"/>
    <n v="0.29411764705882354"/>
    <n v="443.22"/>
    <n v="2"/>
    <n v="0.1016"/>
  </r>
  <r>
    <x v="19"/>
    <x v="4"/>
    <x v="7"/>
    <n v="80"/>
    <n v="13"/>
    <n v="504.59"/>
    <n v="0"/>
    <n v="0"/>
    <n v="1265.47"/>
    <n v="1"/>
    <n v="1E-3"/>
  </r>
  <r>
    <x v="20"/>
    <x v="4"/>
    <x v="7"/>
    <n v="18"/>
    <n v="12"/>
    <n v="262.26"/>
    <n v="1"/>
    <n v="8.3333333333333329E-2"/>
    <n v="1573.7"/>
    <n v="3"/>
    <n v="5.1299999999999998E-2"/>
  </r>
  <r>
    <x v="21"/>
    <x v="4"/>
    <x v="7"/>
    <n v="106"/>
    <n v="6"/>
    <n v="572.16"/>
    <n v="2"/>
    <n v="0.33333333333333331"/>
    <n v="3398.37"/>
    <n v="2"/>
    <n v="2.87E-2"/>
  </r>
  <r>
    <x v="22"/>
    <x v="4"/>
    <x v="7"/>
    <n v="71"/>
    <n v="9"/>
    <n v="172.96"/>
    <n v="6"/>
    <n v="0.66666666666666663"/>
    <n v="464.49"/>
    <n v="1"/>
    <n v="8.2699999999999996E-2"/>
  </r>
  <r>
    <x v="23"/>
    <x v="4"/>
    <x v="7"/>
    <n v="115"/>
    <n v="17"/>
    <n v="422.48"/>
    <n v="0"/>
    <n v="0"/>
    <n v="2681.51"/>
    <n v="3"/>
    <n v="2.5000000000000001E-2"/>
  </r>
  <r>
    <x v="24"/>
    <x v="4"/>
    <x v="7"/>
    <n v="34"/>
    <n v="10"/>
    <n v="565.11"/>
    <n v="5"/>
    <n v="0.5"/>
    <n v="222.62"/>
    <n v="2"/>
    <n v="7.1800000000000003E-2"/>
  </r>
  <r>
    <x v="25"/>
    <x v="4"/>
    <x v="7"/>
    <n v="40"/>
    <n v="17"/>
    <n v="355.83"/>
    <n v="6"/>
    <n v="0.35294117647058826"/>
    <n v="4155.8599999999997"/>
    <n v="1"/>
    <n v="8.8000000000000009E-2"/>
  </r>
  <r>
    <x v="0"/>
    <x v="4"/>
    <x v="8"/>
    <n v="51"/>
    <n v="15"/>
    <n v="349.71"/>
    <n v="8"/>
    <n v="0.53333333333333333"/>
    <n v="4017.54"/>
    <n v="1"/>
    <n v="2.92E-2"/>
  </r>
  <r>
    <x v="1"/>
    <x v="4"/>
    <x v="8"/>
    <n v="79"/>
    <n v="9"/>
    <n v="358.67"/>
    <n v="5"/>
    <n v="0.55555555555555558"/>
    <n v="3658.64"/>
    <n v="3"/>
    <n v="3.7499999999999999E-2"/>
  </r>
  <r>
    <x v="2"/>
    <x v="4"/>
    <x v="8"/>
    <n v="57"/>
    <n v="18"/>
    <n v="403.41"/>
    <n v="3"/>
    <n v="0.16666666666666666"/>
    <n v="3767.63"/>
    <n v="2"/>
    <n v="4.24E-2"/>
  </r>
  <r>
    <x v="3"/>
    <x v="4"/>
    <x v="8"/>
    <n v="24"/>
    <n v="7"/>
    <n v="79.62"/>
    <n v="4"/>
    <n v="0.5714285714285714"/>
    <n v="1650.69"/>
    <n v="1"/>
    <n v="3.0600000000000002E-2"/>
  </r>
  <r>
    <x v="4"/>
    <x v="4"/>
    <x v="8"/>
    <n v="77"/>
    <n v="11"/>
    <n v="487.47"/>
    <n v="4"/>
    <n v="0.36363636363636365"/>
    <n v="990.89"/>
    <n v="3"/>
    <n v="4.3299999999999998E-2"/>
  </r>
  <r>
    <x v="5"/>
    <x v="4"/>
    <x v="8"/>
    <n v="69"/>
    <n v="7"/>
    <n v="549.77"/>
    <n v="2"/>
    <n v="0.2857142857142857"/>
    <n v="3916.58"/>
    <n v="2"/>
    <n v="1.2E-2"/>
  </r>
  <r>
    <x v="6"/>
    <x v="4"/>
    <x v="8"/>
    <n v="74"/>
    <n v="18"/>
    <n v="306.89999999999998"/>
    <n v="3"/>
    <n v="0.16666666666666666"/>
    <n v="2254.16"/>
    <n v="1"/>
    <n v="9.64E-2"/>
  </r>
  <r>
    <x v="7"/>
    <x v="4"/>
    <x v="8"/>
    <n v="57"/>
    <n v="7"/>
    <n v="262.27999999999997"/>
    <n v="7"/>
    <n v="1"/>
    <n v="3929.11"/>
    <n v="3"/>
    <n v="4.4299999999999999E-2"/>
  </r>
  <r>
    <x v="8"/>
    <x v="4"/>
    <x v="8"/>
    <n v="26"/>
    <n v="21"/>
    <n v="359.51"/>
    <n v="9"/>
    <n v="0.42857142857142855"/>
    <n v="1187.3699999999999"/>
    <n v="2"/>
    <n v="5.33E-2"/>
  </r>
  <r>
    <x v="9"/>
    <x v="4"/>
    <x v="8"/>
    <n v="76"/>
    <n v="18"/>
    <n v="339.1"/>
    <n v="8"/>
    <n v="0.44444444444444442"/>
    <n v="924.79"/>
    <n v="1"/>
    <n v="3.6000000000000004E-2"/>
  </r>
  <r>
    <x v="10"/>
    <x v="4"/>
    <x v="8"/>
    <n v="22"/>
    <n v="7"/>
    <n v="182.47"/>
    <n v="7"/>
    <n v="1"/>
    <n v="779.86"/>
    <n v="3"/>
    <n v="7.2700000000000001E-2"/>
  </r>
  <r>
    <x v="11"/>
    <x v="4"/>
    <x v="8"/>
    <n v="38"/>
    <n v="6"/>
    <n v="553.89"/>
    <n v="6"/>
    <n v="1"/>
    <n v="4013.79"/>
    <n v="2"/>
    <n v="4.3200000000000002E-2"/>
  </r>
  <r>
    <x v="12"/>
    <x v="4"/>
    <x v="8"/>
    <n v="87"/>
    <n v="21"/>
    <n v="633.13"/>
    <n v="2"/>
    <n v="9.5238095238095233E-2"/>
    <n v="336.22"/>
    <n v="1"/>
    <n v="3.4500000000000003E-2"/>
  </r>
  <r>
    <x v="13"/>
    <x v="4"/>
    <x v="8"/>
    <n v="37"/>
    <n v="8"/>
    <n v="215.09"/>
    <n v="2"/>
    <n v="0.25"/>
    <n v="3424.83"/>
    <n v="3"/>
    <n v="4.07E-2"/>
  </r>
  <r>
    <x v="14"/>
    <x v="4"/>
    <x v="8"/>
    <n v="71"/>
    <n v="8"/>
    <n v="199.19"/>
    <n v="2"/>
    <n v="0.25"/>
    <n v="635.24"/>
    <n v="2"/>
    <n v="2.9500000000000002E-2"/>
  </r>
  <r>
    <x v="15"/>
    <x v="4"/>
    <x v="8"/>
    <n v="81"/>
    <n v="5"/>
    <n v="153.5"/>
    <n v="2"/>
    <n v="0.4"/>
    <n v="1307.47"/>
    <n v="1"/>
    <n v="7.3300000000000004E-2"/>
  </r>
  <r>
    <x v="16"/>
    <x v="4"/>
    <x v="8"/>
    <n v="93"/>
    <n v="5"/>
    <n v="77.12"/>
    <n v="2"/>
    <n v="0.4"/>
    <n v="3483.91"/>
    <n v="3"/>
    <n v="9.9000000000000005E-2"/>
  </r>
  <r>
    <x v="17"/>
    <x v="4"/>
    <x v="8"/>
    <n v="21"/>
    <n v="17"/>
    <n v="533.41999999999996"/>
    <n v="7"/>
    <n v="0.41176470588235292"/>
    <n v="3895.32"/>
    <n v="2"/>
    <n v="3.4000000000000002E-2"/>
  </r>
  <r>
    <x v="18"/>
    <x v="4"/>
    <x v="8"/>
    <n v="86"/>
    <n v="17"/>
    <n v="160.88999999999999"/>
    <n v="4"/>
    <n v="0.23529411764705882"/>
    <n v="418.33"/>
    <n v="1"/>
    <n v="8.8100000000000012E-2"/>
  </r>
  <r>
    <x v="19"/>
    <x v="4"/>
    <x v="8"/>
    <n v="72"/>
    <n v="11"/>
    <n v="459.86"/>
    <n v="0"/>
    <n v="0"/>
    <n v="1269.5999999999999"/>
    <n v="3"/>
    <n v="1E-3"/>
  </r>
  <r>
    <x v="20"/>
    <x v="4"/>
    <x v="8"/>
    <n v="18"/>
    <n v="13"/>
    <n v="290.14"/>
    <n v="2"/>
    <n v="0.15384615384615385"/>
    <n v="1444.65"/>
    <n v="2"/>
    <n v="5.4699999999999999E-2"/>
  </r>
  <r>
    <x v="21"/>
    <x v="4"/>
    <x v="8"/>
    <n v="105"/>
    <n v="7"/>
    <n v="587.83000000000004"/>
    <n v="1"/>
    <n v="0.14285714285714285"/>
    <n v="3601.93"/>
    <n v="1"/>
    <n v="3.2199999999999999E-2"/>
  </r>
  <r>
    <x v="22"/>
    <x v="4"/>
    <x v="8"/>
    <n v="75"/>
    <n v="8"/>
    <n v="177.88"/>
    <n v="7"/>
    <n v="0.875"/>
    <n v="507.1"/>
    <n v="3"/>
    <n v="9.5199999999999993E-2"/>
  </r>
  <r>
    <x v="23"/>
    <x v="4"/>
    <x v="8"/>
    <n v="98"/>
    <n v="12"/>
    <n v="406.95"/>
    <n v="0"/>
    <n v="0"/>
    <n v="2978.09"/>
    <n v="2"/>
    <n v="2.3700000000000002E-2"/>
  </r>
  <r>
    <x v="24"/>
    <x v="4"/>
    <x v="8"/>
    <n v="33"/>
    <n v="13"/>
    <n v="517.1"/>
    <n v="4"/>
    <n v="0.30769230769230771"/>
    <n v="250.08"/>
    <n v="1"/>
    <n v="6.5299999999999997E-2"/>
  </r>
  <r>
    <x v="25"/>
    <x v="4"/>
    <x v="8"/>
    <n v="35"/>
    <n v="18"/>
    <n v="348.92"/>
    <n v="7"/>
    <n v="0.3888888888888889"/>
    <n v="4381.3900000000003"/>
    <n v="1"/>
    <n v="8.8599999999999998E-2"/>
  </r>
  <r>
    <x v="0"/>
    <x v="4"/>
    <x v="9"/>
    <n v="74"/>
    <n v="16"/>
    <n v="308.51"/>
    <n v="7"/>
    <n v="0.4375"/>
    <n v="4267.5"/>
    <n v="3"/>
    <n v="2.9399999999999999E-2"/>
  </r>
  <r>
    <x v="1"/>
    <x v="4"/>
    <x v="9"/>
    <n v="72"/>
    <n v="10"/>
    <n v="362.58"/>
    <n v="5"/>
    <n v="0.5"/>
    <n v="3679.65"/>
    <n v="2"/>
    <n v="3.8599999999999995E-2"/>
  </r>
  <r>
    <x v="2"/>
    <x v="4"/>
    <x v="9"/>
    <n v="58"/>
    <n v="13"/>
    <n v="368.06"/>
    <n v="2"/>
    <n v="0.15384615384615385"/>
    <n v="3626.22"/>
    <n v="1"/>
    <n v="4.1399999999999999E-2"/>
  </r>
  <r>
    <x v="3"/>
    <x v="4"/>
    <x v="9"/>
    <n v="22"/>
    <n v="7"/>
    <n v="74.680000000000007"/>
    <n v="4"/>
    <n v="0.5714285714285714"/>
    <n v="1543.72"/>
    <n v="3"/>
    <n v="2.75E-2"/>
  </r>
  <r>
    <x v="4"/>
    <x v="4"/>
    <x v="9"/>
    <n v="74"/>
    <n v="15"/>
    <n v="460.2"/>
    <n v="4"/>
    <n v="0.26666666666666666"/>
    <n v="980.1"/>
    <n v="2"/>
    <n v="3.7900000000000003E-2"/>
  </r>
  <r>
    <x v="5"/>
    <x v="4"/>
    <x v="9"/>
    <n v="62"/>
    <n v="8"/>
    <n v="540.79999999999995"/>
    <n v="3"/>
    <n v="0.375"/>
    <n v="3928.71"/>
    <n v="1"/>
    <n v="1.09E-2"/>
  </r>
  <r>
    <x v="6"/>
    <x v="4"/>
    <x v="9"/>
    <n v="70"/>
    <n v="21"/>
    <n v="319.62"/>
    <n v="3"/>
    <n v="0.14285714285714285"/>
    <n v="2486.2199999999998"/>
    <n v="3"/>
    <n v="0.1036"/>
  </r>
  <r>
    <x v="7"/>
    <x v="4"/>
    <x v="9"/>
    <n v="51"/>
    <n v="7"/>
    <n v="248.37"/>
    <n v="7"/>
    <n v="1"/>
    <n v="3946.23"/>
    <n v="2"/>
    <n v="4.2699999999999995E-2"/>
  </r>
  <r>
    <x v="8"/>
    <x v="4"/>
    <x v="9"/>
    <n v="32"/>
    <n v="16"/>
    <n v="393.04"/>
    <n v="7"/>
    <n v="0.4375"/>
    <n v="1286.18"/>
    <n v="1"/>
    <n v="5.6399999999999999E-2"/>
  </r>
  <r>
    <x v="9"/>
    <x v="4"/>
    <x v="9"/>
    <n v="71"/>
    <n v="16"/>
    <n v="323.56"/>
    <n v="9"/>
    <n v="0.5625"/>
    <n v="957.05"/>
    <n v="3"/>
    <n v="3.1099999999999999E-2"/>
  </r>
  <r>
    <x v="10"/>
    <x v="4"/>
    <x v="9"/>
    <n v="17"/>
    <n v="7"/>
    <n v="205.3"/>
    <n v="4"/>
    <n v="0.5714285714285714"/>
    <n v="762.2"/>
    <n v="2"/>
    <n v="7.2300000000000003E-2"/>
  </r>
  <r>
    <x v="11"/>
    <x v="4"/>
    <x v="9"/>
    <n v="35"/>
    <n v="6"/>
    <n v="544.78"/>
    <n v="5"/>
    <n v="0.83333333333333337"/>
    <n v="3420.99"/>
    <n v="3"/>
    <n v="4.0500000000000001E-2"/>
  </r>
  <r>
    <x v="12"/>
    <x v="4"/>
    <x v="9"/>
    <n v="73"/>
    <n v="17"/>
    <n v="557.29999999999995"/>
    <n v="3"/>
    <n v="0.17647058823529413"/>
    <n v="376.66"/>
    <n v="2"/>
    <n v="3.4700000000000002E-2"/>
  </r>
  <r>
    <x v="13"/>
    <x v="4"/>
    <x v="9"/>
    <n v="27"/>
    <n v="6"/>
    <n v="202.37"/>
    <n v="1"/>
    <n v="0.16666666666666666"/>
    <n v="3781.81"/>
    <n v="1"/>
    <n v="4.3099999999999999E-2"/>
  </r>
  <r>
    <x v="14"/>
    <x v="4"/>
    <x v="9"/>
    <n v="49"/>
    <n v="7"/>
    <n v="204.14"/>
    <n v="3"/>
    <n v="0.42857142857142855"/>
    <n v="636.65"/>
    <n v="3"/>
    <n v="2.9500000000000002E-2"/>
  </r>
  <r>
    <x v="15"/>
    <x v="4"/>
    <x v="9"/>
    <n v="106"/>
    <n v="5"/>
    <n v="163.38"/>
    <n v="1"/>
    <n v="0.2"/>
    <n v="1148.1400000000001"/>
    <n v="2"/>
    <n v="7.8799999999999995E-2"/>
  </r>
  <r>
    <x v="16"/>
    <x v="4"/>
    <x v="9"/>
    <n v="102"/>
    <n v="5"/>
    <n v="86.37"/>
    <n v="5"/>
    <n v="1"/>
    <n v="3851.19"/>
    <n v="1"/>
    <n v="8.3800000000000013E-2"/>
  </r>
  <r>
    <x v="17"/>
    <x v="4"/>
    <x v="9"/>
    <n v="21"/>
    <n v="14"/>
    <n v="537.36"/>
    <n v="7"/>
    <n v="0.5"/>
    <n v="3767.78"/>
    <n v="3"/>
    <n v="3.44E-2"/>
  </r>
  <r>
    <x v="18"/>
    <x v="4"/>
    <x v="9"/>
    <n v="104"/>
    <n v="20"/>
    <n v="181.9"/>
    <n v="4"/>
    <n v="0.2"/>
    <n v="400.92"/>
    <n v="2"/>
    <n v="0.10009999999999999"/>
  </r>
  <r>
    <x v="19"/>
    <x v="4"/>
    <x v="9"/>
    <n v="64"/>
    <n v="15"/>
    <n v="514.38"/>
    <n v="0"/>
    <n v="0"/>
    <n v="1220.5899999999999"/>
    <n v="1"/>
    <n v="1E-3"/>
  </r>
  <r>
    <x v="20"/>
    <x v="4"/>
    <x v="9"/>
    <n v="21"/>
    <n v="15"/>
    <n v="309.75"/>
    <n v="2"/>
    <n v="0.13333333333333333"/>
    <n v="1649.09"/>
    <n v="3"/>
    <n v="5.0999999999999997E-2"/>
  </r>
  <r>
    <x v="21"/>
    <x v="4"/>
    <x v="9"/>
    <n v="108"/>
    <n v="6"/>
    <n v="515.27"/>
    <n v="2"/>
    <n v="0.33333333333333331"/>
    <n v="3183.87"/>
    <n v="2"/>
    <n v="3.04E-2"/>
  </r>
  <r>
    <x v="22"/>
    <x v="4"/>
    <x v="9"/>
    <n v="63"/>
    <n v="10"/>
    <n v="194.21"/>
    <n v="7"/>
    <n v="0.7"/>
    <n v="508.84"/>
    <n v="1"/>
    <n v="9.3900000000000011E-2"/>
  </r>
  <r>
    <x v="23"/>
    <x v="4"/>
    <x v="9"/>
    <n v="85"/>
    <n v="15"/>
    <n v="400.65"/>
    <n v="0"/>
    <n v="0"/>
    <n v="2890.62"/>
    <n v="1"/>
    <n v="2.4700000000000003E-2"/>
  </r>
  <r>
    <x v="24"/>
    <x v="4"/>
    <x v="9"/>
    <n v="36"/>
    <n v="10"/>
    <n v="535.44000000000005"/>
    <n v="4"/>
    <n v="0.4"/>
    <n v="241.26"/>
    <n v="3"/>
    <n v="6.3E-2"/>
  </r>
  <r>
    <x v="25"/>
    <x v="4"/>
    <x v="9"/>
    <n v="34"/>
    <n v="12"/>
    <n v="356.4"/>
    <n v="8"/>
    <n v="0.66666666666666663"/>
    <n v="4111.76"/>
    <n v="2"/>
    <n v="8.4700000000000011E-2"/>
  </r>
  <r>
    <x v="0"/>
    <x v="4"/>
    <x v="10"/>
    <n v="67"/>
    <n v="12"/>
    <n v="352.6"/>
    <n v="6"/>
    <n v="0.5"/>
    <n v="4402.41"/>
    <n v="1"/>
    <n v="2.8999999999999998E-2"/>
  </r>
  <r>
    <x v="1"/>
    <x v="4"/>
    <x v="10"/>
    <n v="76"/>
    <n v="14"/>
    <n v="351.42"/>
    <n v="4"/>
    <n v="0.2857142857142857"/>
    <n v="3917.99"/>
    <n v="3"/>
    <n v="4.2999999999999997E-2"/>
  </r>
  <r>
    <x v="2"/>
    <x v="4"/>
    <x v="10"/>
    <n v="53"/>
    <n v="17"/>
    <n v="404.22"/>
    <n v="2"/>
    <n v="0.11764705882352941"/>
    <n v="3669.4"/>
    <n v="2"/>
    <n v="4.4500000000000005E-2"/>
  </r>
  <r>
    <x v="3"/>
    <x v="4"/>
    <x v="10"/>
    <n v="22"/>
    <n v="6"/>
    <n v="80.02"/>
    <n v="3"/>
    <n v="0.5"/>
    <n v="1476.69"/>
    <n v="1"/>
    <n v="2.9300000000000003E-2"/>
  </r>
  <r>
    <x v="4"/>
    <x v="4"/>
    <x v="10"/>
    <n v="77"/>
    <n v="16"/>
    <n v="502.41"/>
    <n v="5"/>
    <n v="0.3125"/>
    <n v="1093.75"/>
    <n v="3"/>
    <n v="3.8399999999999997E-2"/>
  </r>
  <r>
    <x v="5"/>
    <x v="4"/>
    <x v="10"/>
    <n v="52"/>
    <n v="6"/>
    <n v="492.23"/>
    <n v="2"/>
    <n v="0.33333333333333331"/>
    <n v="3775.84"/>
    <n v="2"/>
    <n v="1.1000000000000001E-2"/>
  </r>
  <r>
    <x v="6"/>
    <x v="4"/>
    <x v="10"/>
    <n v="74"/>
    <n v="17"/>
    <n v="284.91000000000003"/>
    <n v="3"/>
    <n v="0.17647058823529413"/>
    <n v="2481.64"/>
    <n v="1"/>
    <n v="9.0500000000000011E-2"/>
  </r>
  <r>
    <x v="7"/>
    <x v="4"/>
    <x v="10"/>
    <n v="50"/>
    <n v="9"/>
    <n v="237.95"/>
    <n v="5"/>
    <n v="0.55555555555555558"/>
    <n v="3982.36"/>
    <n v="3"/>
    <n v="4.4299999999999999E-2"/>
  </r>
  <r>
    <x v="8"/>
    <x v="4"/>
    <x v="10"/>
    <n v="30"/>
    <n v="21"/>
    <n v="372.34"/>
    <n v="7"/>
    <n v="0.33333333333333331"/>
    <n v="1172.04"/>
    <n v="2"/>
    <n v="5.4800000000000001E-2"/>
  </r>
  <r>
    <x v="9"/>
    <x v="4"/>
    <x v="10"/>
    <n v="74"/>
    <n v="13"/>
    <n v="324.77999999999997"/>
    <n v="7"/>
    <n v="0.53846153846153844"/>
    <n v="995.6"/>
    <n v="1"/>
    <n v="3.0699999999999998E-2"/>
  </r>
  <r>
    <x v="10"/>
    <x v="4"/>
    <x v="10"/>
    <n v="23"/>
    <n v="7"/>
    <n v="190.12"/>
    <n v="4"/>
    <n v="0.5714285714285714"/>
    <n v="788.65"/>
    <n v="3"/>
    <n v="7.2000000000000008E-2"/>
  </r>
  <r>
    <x v="11"/>
    <x v="4"/>
    <x v="10"/>
    <n v="32"/>
    <n v="7"/>
    <n v="563.41999999999996"/>
    <n v="6"/>
    <n v="0.8571428571428571"/>
    <n v="3543.71"/>
    <n v="2"/>
    <n v="4.3799999999999999E-2"/>
  </r>
  <r>
    <x v="12"/>
    <x v="4"/>
    <x v="10"/>
    <n v="59"/>
    <n v="21"/>
    <n v="633.37"/>
    <n v="2"/>
    <n v="9.5238095238095233E-2"/>
    <n v="358.29"/>
    <n v="1"/>
    <n v="3.27E-2"/>
  </r>
  <r>
    <x v="13"/>
    <x v="4"/>
    <x v="10"/>
    <n v="30"/>
    <n v="6"/>
    <n v="209.84"/>
    <n v="1"/>
    <n v="0.16666666666666666"/>
    <n v="3534.1"/>
    <n v="3"/>
    <n v="4.2000000000000003E-2"/>
  </r>
  <r>
    <x v="14"/>
    <x v="4"/>
    <x v="10"/>
    <n v="65"/>
    <n v="9"/>
    <n v="220.46"/>
    <n v="3"/>
    <n v="0.33333333333333331"/>
    <n v="707.75"/>
    <n v="2"/>
    <n v="2.76E-2"/>
  </r>
  <r>
    <x v="15"/>
    <x v="4"/>
    <x v="10"/>
    <n v="100"/>
    <n v="6"/>
    <n v="153.34"/>
    <n v="3"/>
    <n v="0.5"/>
    <n v="1248.54"/>
    <n v="1"/>
    <n v="7.9000000000000001E-2"/>
  </r>
  <r>
    <x v="16"/>
    <x v="4"/>
    <x v="10"/>
    <n v="81"/>
    <n v="7"/>
    <n v="79.62"/>
    <n v="7"/>
    <n v="1"/>
    <n v="3892.76"/>
    <n v="3"/>
    <n v="9.74E-2"/>
  </r>
  <r>
    <x v="17"/>
    <x v="4"/>
    <x v="10"/>
    <n v="26"/>
    <n v="17"/>
    <n v="504.54"/>
    <n v="8"/>
    <n v="0.47058823529411764"/>
    <n v="3359.77"/>
    <n v="2"/>
    <n v="3.2000000000000001E-2"/>
  </r>
  <r>
    <x v="18"/>
    <x v="4"/>
    <x v="10"/>
    <n v="96"/>
    <n v="16"/>
    <n v="161.69"/>
    <n v="5"/>
    <n v="0.3125"/>
    <n v="392.05"/>
    <n v="1"/>
    <n v="9.5700000000000007E-2"/>
  </r>
  <r>
    <x v="19"/>
    <x v="4"/>
    <x v="10"/>
    <n v="72"/>
    <n v="12"/>
    <n v="474.28"/>
    <n v="1"/>
    <n v="8.3333333333333329E-2"/>
    <n v="1097.5999999999999"/>
    <n v="3"/>
    <n v="1E-3"/>
  </r>
  <r>
    <x v="20"/>
    <x v="4"/>
    <x v="10"/>
    <n v="18"/>
    <n v="15"/>
    <n v="268.94"/>
    <n v="1"/>
    <n v="6.6666666666666666E-2"/>
    <n v="1469.71"/>
    <n v="2"/>
    <n v="5.0900000000000001E-2"/>
  </r>
  <r>
    <x v="21"/>
    <x v="4"/>
    <x v="10"/>
    <n v="87"/>
    <n v="5"/>
    <n v="601.28"/>
    <n v="2"/>
    <n v="0.4"/>
    <n v="3491.19"/>
    <n v="1"/>
    <n v="2.9700000000000001E-2"/>
  </r>
  <r>
    <x v="22"/>
    <x v="4"/>
    <x v="10"/>
    <n v="73"/>
    <n v="8"/>
    <n v="182.48"/>
    <n v="8"/>
    <n v="1"/>
    <n v="548.46"/>
    <n v="1"/>
    <n v="8.8200000000000001E-2"/>
  </r>
  <r>
    <x v="23"/>
    <x v="4"/>
    <x v="10"/>
    <n v="97"/>
    <n v="14"/>
    <n v="368.16"/>
    <n v="0"/>
    <n v="0"/>
    <n v="3020.19"/>
    <n v="3"/>
    <n v="2.5099999999999997E-2"/>
  </r>
  <r>
    <x v="24"/>
    <x v="4"/>
    <x v="10"/>
    <n v="28"/>
    <n v="12"/>
    <n v="565.51"/>
    <n v="4"/>
    <n v="0.33333333333333331"/>
    <n v="231.16"/>
    <n v="2"/>
    <n v="6.2699999999999992E-2"/>
  </r>
  <r>
    <x v="25"/>
    <x v="4"/>
    <x v="10"/>
    <n v="41"/>
    <n v="13"/>
    <n v="370.44"/>
    <n v="9"/>
    <n v="0.69230769230769229"/>
    <n v="4484.96"/>
    <n v="1"/>
    <n v="8.5199999999999998E-2"/>
  </r>
  <r>
    <x v="0"/>
    <x v="4"/>
    <x v="11"/>
    <n v="61"/>
    <n v="13"/>
    <n v="356.61"/>
    <n v="7"/>
    <n v="0.53846153846153844"/>
    <n v="4099.6400000000003"/>
    <n v="3"/>
    <n v="2.9600000000000001E-2"/>
  </r>
  <r>
    <x v="1"/>
    <x v="4"/>
    <x v="11"/>
    <n v="80"/>
    <n v="13"/>
    <n v="369.46"/>
    <n v="4"/>
    <n v="0.30769230769230771"/>
    <n v="3996.04"/>
    <n v="2"/>
    <n v="3.7499999999999999E-2"/>
  </r>
  <r>
    <x v="2"/>
    <x v="4"/>
    <x v="11"/>
    <n v="51"/>
    <n v="14"/>
    <n v="419.93"/>
    <n v="2"/>
    <n v="0.14285714285714285"/>
    <n v="3543.6"/>
    <n v="1"/>
    <n v="4.6300000000000001E-2"/>
  </r>
  <r>
    <x v="3"/>
    <x v="4"/>
    <x v="11"/>
    <n v="20"/>
    <n v="5"/>
    <n v="71.41"/>
    <n v="3"/>
    <n v="0.6"/>
    <n v="1527.27"/>
    <n v="3"/>
    <n v="2.7000000000000003E-2"/>
  </r>
  <r>
    <x v="4"/>
    <x v="4"/>
    <x v="11"/>
    <n v="101"/>
    <n v="14"/>
    <n v="503.93"/>
    <n v="5"/>
    <n v="0.35714285714285715"/>
    <n v="1116.6099999999999"/>
    <n v="2"/>
    <n v="3.7000000000000005E-2"/>
  </r>
  <r>
    <x v="5"/>
    <x v="4"/>
    <x v="11"/>
    <n v="70"/>
    <n v="6"/>
    <n v="488.97"/>
    <n v="3"/>
    <n v="0.5"/>
    <n v="3767.09"/>
    <n v="1"/>
    <n v="1.0800000000000001E-2"/>
  </r>
  <r>
    <x v="6"/>
    <x v="4"/>
    <x v="11"/>
    <n v="84"/>
    <n v="19"/>
    <n v="301.2"/>
    <n v="2"/>
    <n v="0.10526315789473684"/>
    <n v="2608.4699999999998"/>
    <n v="3"/>
    <n v="0.1032"/>
  </r>
  <r>
    <x v="7"/>
    <x v="4"/>
    <x v="11"/>
    <n v="50"/>
    <n v="6"/>
    <n v="219.19"/>
    <n v="4"/>
    <n v="0.66666666666666663"/>
    <n v="3836.95"/>
    <n v="2"/>
    <n v="3.8699999999999998E-2"/>
  </r>
  <r>
    <x v="8"/>
    <x v="4"/>
    <x v="11"/>
    <n v="28"/>
    <n v="19"/>
    <n v="352.06"/>
    <n v="9"/>
    <n v="0.47368421052631576"/>
    <n v="1107.51"/>
    <n v="3"/>
    <n v="5.5E-2"/>
  </r>
  <r>
    <x v="9"/>
    <x v="4"/>
    <x v="11"/>
    <n v="69"/>
    <n v="16"/>
    <n v="337.7"/>
    <n v="9"/>
    <n v="0.5625"/>
    <n v="947.47"/>
    <n v="2"/>
    <n v="3.56E-2"/>
  </r>
  <r>
    <x v="10"/>
    <x v="4"/>
    <x v="11"/>
    <n v="18"/>
    <n v="6"/>
    <n v="212.39"/>
    <n v="3"/>
    <n v="0.5"/>
    <n v="730.81"/>
    <n v="1"/>
    <n v="8.6699999999999999E-2"/>
  </r>
  <r>
    <x v="11"/>
    <x v="4"/>
    <x v="11"/>
    <n v="40"/>
    <n v="7"/>
    <n v="486.93"/>
    <n v="7"/>
    <n v="1"/>
    <n v="3643.63"/>
    <n v="3"/>
    <n v="4.0199999999999993E-2"/>
  </r>
  <r>
    <x v="12"/>
    <x v="4"/>
    <x v="11"/>
    <n v="77"/>
    <n v="16"/>
    <n v="539.26"/>
    <n v="3"/>
    <n v="0.1875"/>
    <n v="379.83"/>
    <n v="2"/>
    <n v="3.7999999999999999E-2"/>
  </r>
  <r>
    <x v="13"/>
    <x v="4"/>
    <x v="11"/>
    <n v="31"/>
    <n v="6"/>
    <n v="191.66"/>
    <n v="2"/>
    <n v="0.33333333333333331"/>
    <n v="3753.06"/>
    <n v="1"/>
    <n v="3.8300000000000001E-2"/>
  </r>
  <r>
    <x v="14"/>
    <x v="4"/>
    <x v="11"/>
    <n v="57"/>
    <n v="7"/>
    <n v="190.08"/>
    <n v="2"/>
    <n v="0.2857142857142857"/>
    <n v="649.97"/>
    <n v="3"/>
    <n v="2.8799999999999999E-2"/>
  </r>
  <r>
    <x v="15"/>
    <x v="4"/>
    <x v="11"/>
    <n v="88"/>
    <n v="5"/>
    <n v="168.89"/>
    <n v="3"/>
    <n v="0.6"/>
    <n v="1153.93"/>
    <n v="2"/>
    <n v="8.2500000000000004E-2"/>
  </r>
  <r>
    <x v="16"/>
    <x v="4"/>
    <x v="11"/>
    <n v="74"/>
    <n v="6"/>
    <n v="87.83"/>
    <n v="6"/>
    <n v="1"/>
    <n v="3741.27"/>
    <n v="1"/>
    <n v="9.9700000000000011E-2"/>
  </r>
  <r>
    <x v="17"/>
    <x v="4"/>
    <x v="11"/>
    <n v="26"/>
    <n v="13"/>
    <n v="543.15"/>
    <n v="6"/>
    <n v="0.46153846153846156"/>
    <n v="3793.56"/>
    <n v="3"/>
    <n v="3.56E-2"/>
  </r>
  <r>
    <x v="18"/>
    <x v="4"/>
    <x v="11"/>
    <n v="99"/>
    <n v="15"/>
    <n v="181.12"/>
    <n v="5"/>
    <n v="0.33333333333333331"/>
    <n v="454.09"/>
    <n v="2"/>
    <n v="9.3599999999999989E-2"/>
  </r>
  <r>
    <x v="19"/>
    <x v="4"/>
    <x v="11"/>
    <n v="74"/>
    <n v="14"/>
    <n v="508.85"/>
    <n v="1"/>
    <n v="7.1428571428571425E-2"/>
    <n v="1182.6300000000001"/>
    <n v="1"/>
    <n v="8.9999999999999998E-4"/>
  </r>
  <r>
    <x v="20"/>
    <x v="4"/>
    <x v="11"/>
    <n v="21"/>
    <n v="17"/>
    <n v="297.83999999999997"/>
    <n v="1"/>
    <n v="5.8823529411764705E-2"/>
    <n v="1553.7"/>
    <n v="1"/>
    <n v="5.0700000000000002E-2"/>
  </r>
  <r>
    <x v="21"/>
    <x v="4"/>
    <x v="11"/>
    <n v="94"/>
    <n v="6"/>
    <n v="537.26"/>
    <n v="1"/>
    <n v="0.16666666666666666"/>
    <n v="3665.55"/>
    <n v="3"/>
    <n v="3.0800000000000001E-2"/>
  </r>
  <r>
    <x v="22"/>
    <x v="4"/>
    <x v="11"/>
    <n v="83"/>
    <n v="9"/>
    <n v="188.49"/>
    <n v="7"/>
    <n v="0.77777777777777779"/>
    <n v="545.09"/>
    <n v="2"/>
    <n v="8.5600000000000009E-2"/>
  </r>
  <r>
    <x v="23"/>
    <x v="4"/>
    <x v="11"/>
    <n v="84"/>
    <n v="14"/>
    <n v="370.36"/>
    <n v="0"/>
    <n v="0"/>
    <n v="2605.02"/>
    <n v="1"/>
    <n v="2.5499999999999998E-2"/>
  </r>
  <r>
    <x v="24"/>
    <x v="4"/>
    <x v="11"/>
    <n v="32"/>
    <n v="10"/>
    <n v="500.83"/>
    <n v="4"/>
    <n v="0.4"/>
    <n v="239.13"/>
    <n v="3"/>
    <n v="6.1900000000000004E-2"/>
  </r>
  <r>
    <x v="25"/>
    <x v="4"/>
    <x v="11"/>
    <n v="39"/>
    <n v="15"/>
    <n v="319.08999999999997"/>
    <n v="7"/>
    <n v="0.46666666666666667"/>
    <n v="4573.5"/>
    <n v="2"/>
    <n v="8.039999999999998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A226FF-7EA7-4939-8B53-EA932358AE69}" name="PivotTable3" cacheId="17"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A20:B33" firstHeaderRow="1" firstDataRow="1" firstDataCol="1"/>
  <pivotFields count="13">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showAll="0">
      <items count="6">
        <item x="4"/>
        <item x="3"/>
        <item x="0"/>
        <item x="1"/>
        <item x="2"/>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dataField="1" showAll="0"/>
    <pivotField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Deal Value ($)" fld="8" baseField="0" baseItem="0"/>
  </dataFields>
  <chartFormats count="1">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FA46E1-01DF-4C51-B4F5-7EDD6F0F4B69}" name="PivotTable2" cacheId="17"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7" firstHeaderRow="1" firstDataRow="1" firstDataCol="1"/>
  <pivotFields count="13">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axis="axisRow" showAll="0">
      <items count="6">
        <item x="4"/>
        <item x="3"/>
        <item x="0"/>
        <item x="1"/>
        <item x="2"/>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showAll="0"/>
    <pivotField dataField="1"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i>
    <i>
      <x v="1"/>
    </i>
    <i>
      <x v="2"/>
    </i>
    <i>
      <x v="3"/>
    </i>
    <i>
      <x v="4"/>
    </i>
    <i t="grand">
      <x/>
    </i>
  </rowItems>
  <colItems count="1">
    <i/>
  </colItems>
  <dataFields count="1">
    <dataField name="Average of Service Level" fld="9"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A5ED9A-B5AA-4F1A-9F72-E750A9AB2D42}" name="PivotTable1" cacheId="17"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3">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showAll="0"/>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 Total Calls" fld="3" baseField="0" baseItem="0"/>
    <dataField name=" Deals Closed" fld="6" baseField="0" baseItem="0"/>
    <dataField name=" Deal Value ($)" fld="8" baseField="0" baseItem="0"/>
    <dataField name=" Calls Reached" fld="4" baseField="0" baseItem="0"/>
  </dataFields>
  <formats count="1">
    <format dxfId="16">
      <pivotArea dataOnly="0" labelOnly="1" fieldPosition="0">
        <references count="1">
          <reference field="429496729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78BB2A-CC1C-4015-8A68-CB7FC864BFC8}" name="PivotTable5" cacheId="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10:I37" firstHeaderRow="0" firstDataRow="1" firstDataCol="1"/>
  <pivotFields count="13">
    <pivotField axis="axisRow" compact="0" outline="0" showAll="0" sortType="ascending">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compact="0" outline="0" showAll="0">
      <items count="6">
        <item x="4"/>
        <item x="3"/>
        <item x="0"/>
        <item x="1"/>
        <item x="2"/>
        <item t="default"/>
      </items>
    </pivotField>
    <pivotField compact="0" numFmtId="14" outline="0" showAll="0">
      <items count="13">
        <item x="0"/>
        <item x="1"/>
        <item x="2"/>
        <item x="3"/>
        <item x="4"/>
        <item x="5"/>
        <item x="6"/>
        <item x="7"/>
        <item x="8"/>
        <item x="9"/>
        <item x="10"/>
        <item x="11"/>
        <item t="default"/>
      </items>
    </pivotField>
    <pivotField dataField="1" compact="0" outline="0" showAll="0"/>
    <pivotField dataField="1" compact="0" outline="0" showAll="0"/>
    <pivotField compact="0" outline="0" showAll="0"/>
    <pivotField dataField="1" compact="0" outline="0" showAll="0"/>
    <pivotField compact="0" numFmtId="9" outline="0" showAll="0"/>
    <pivotField dataField="1" compact="0" outline="0" showAll="0"/>
    <pivotField compact="0" outline="0" showAll="0"/>
    <pivotField compact="0" numFmtId="9"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2"/>
  </colFields>
  <colItems count="4">
    <i>
      <x/>
    </i>
    <i i="1">
      <x v="1"/>
    </i>
    <i i="2">
      <x v="2"/>
    </i>
    <i i="3">
      <x v="3"/>
    </i>
  </colItems>
  <dataFields count="4">
    <dataField name=" Total Calls" fld="3" baseField="0" baseItem="0"/>
    <dataField name=" Calls Reached" fld="4" baseField="0" baseItem="0"/>
    <dataField name=" Deals Closed" fld="6" baseField="0" baseItem="0"/>
    <dataField name=" Deal Value ($)" fld="8" baseField="0" baseItem="0"/>
  </dataFields>
  <formats count="13">
    <format dxfId="12">
      <pivotArea field="0" type="button" dataOnly="0" labelOnly="1" outline="0" axis="axisRow" fieldPosition="0"/>
    </format>
    <format dxfId="11">
      <pivotArea dataOnly="0" labelOnly="1" outline="0" fieldPosition="0">
        <references count="1">
          <reference field="4294967294" count="4">
            <x v="0"/>
            <x v="1"/>
            <x v="2"/>
            <x v="3"/>
          </reference>
        </references>
      </pivotArea>
    </format>
    <format dxfId="10">
      <pivotArea field="0" type="button" dataOnly="0" labelOnly="1" outline="0" axis="axisRow" fieldPosition="0"/>
    </format>
    <format dxfId="9">
      <pivotArea dataOnly="0" labelOnly="1" outline="0" fieldPosition="0">
        <references count="1">
          <reference field="4294967294" count="4">
            <x v="0"/>
            <x v="1"/>
            <x v="2"/>
            <x v="3"/>
          </reference>
        </references>
      </pivotArea>
    </format>
    <format dxfId="8">
      <pivotArea field="0" type="button" dataOnly="0" labelOnly="1" outline="0" axis="axisRow" fieldPosition="0"/>
    </format>
    <format dxfId="7">
      <pivotArea dataOnly="0" labelOnly="1" outline="0" fieldPosition="0">
        <references count="1">
          <reference field="4294967294" count="4">
            <x v="0"/>
            <x v="1"/>
            <x v="2"/>
            <x v="3"/>
          </reference>
        </references>
      </pivotArea>
    </format>
    <format dxfId="6">
      <pivotArea grandRow="1" outline="0" collapsedLevelsAreSubtotals="1" fieldPosition="0"/>
    </format>
    <format dxfId="5">
      <pivotArea dataOnly="0" labelOnly="1" grandRow="1" outline="0" fieldPosition="0"/>
    </format>
    <format dxfId="4">
      <pivotArea grandRow="1" outline="0" collapsedLevelsAreSubtotals="1" fieldPosition="0"/>
    </format>
    <format dxfId="3">
      <pivotArea dataOnly="0" labelOnly="1" grandRow="1" outline="0" fieldPosition="0"/>
    </format>
    <format dxfId="2">
      <pivotArea field="0" type="button" dataOnly="0" labelOnly="1" outline="0" axis="axisRow" fieldPosition="0"/>
    </format>
    <format dxfId="1">
      <pivotArea dataOnly="0" labelOnly="1" outline="0" fieldPosition="0">
        <references count="1">
          <reference field="4294967294" count="4">
            <x v="0"/>
            <x v="1"/>
            <x v="2"/>
            <x v="3"/>
          </reference>
        </references>
      </pivotArea>
    </format>
    <format dxfId="0">
      <pivotArea dataOnly="0" grandRow="1" outline="0" fieldPosition="0"/>
    </format>
  </formats>
  <conditionalFormats count="4">
    <conditionalFormat priority="4">
      <pivotAreas count="1">
        <pivotArea type="data" outline="0" collapsedLevelsAreSubtotals="1" fieldPosition="0">
          <references count="2">
            <reference field="4294967294" count="1" selected="0">
              <x v="0"/>
            </reference>
            <reference field="0" count="26" selected="0">
              <x v="0"/>
              <x v="1"/>
              <x v="2"/>
              <x v="3"/>
              <x v="4"/>
              <x v="5"/>
              <x v="6"/>
              <x v="7"/>
              <x v="8"/>
              <x v="9"/>
              <x v="10"/>
              <x v="11"/>
              <x v="12"/>
              <x v="13"/>
              <x v="14"/>
              <x v="15"/>
              <x v="16"/>
              <x v="17"/>
              <x v="18"/>
              <x v="19"/>
              <x v="20"/>
              <x v="21"/>
              <x v="22"/>
              <x v="23"/>
              <x v="24"/>
              <x v="25"/>
            </reference>
          </references>
        </pivotArea>
      </pivotAreas>
    </conditionalFormat>
    <conditionalFormat priority="3">
      <pivotAreas count="1">
        <pivotArea type="data" outline="0" collapsedLevelsAreSubtotals="1" fieldPosition="0">
          <references count="2">
            <reference field="4294967294" count="1" selected="0">
              <x v="1"/>
            </reference>
            <reference field="0" count="26" selected="0">
              <x v="0"/>
              <x v="1"/>
              <x v="2"/>
              <x v="3"/>
              <x v="4"/>
              <x v="5"/>
              <x v="6"/>
              <x v="7"/>
              <x v="8"/>
              <x v="9"/>
              <x v="10"/>
              <x v="11"/>
              <x v="12"/>
              <x v="13"/>
              <x v="14"/>
              <x v="15"/>
              <x v="16"/>
              <x v="17"/>
              <x v="18"/>
              <x v="19"/>
              <x v="20"/>
              <x v="21"/>
              <x v="22"/>
              <x v="23"/>
              <x v="24"/>
              <x v="25"/>
            </reference>
          </references>
        </pivotArea>
      </pivotAreas>
    </conditionalFormat>
    <conditionalFormat priority="2">
      <pivotAreas count="1">
        <pivotArea type="data" outline="0" collapsedLevelsAreSubtotals="1" fieldPosition="0">
          <references count="2">
            <reference field="4294967294" count="1" selected="0">
              <x v="2"/>
            </reference>
            <reference field="0" count="26" selected="0">
              <x v="0"/>
              <x v="1"/>
              <x v="2"/>
              <x v="3"/>
              <x v="4"/>
              <x v="5"/>
              <x v="6"/>
              <x v="7"/>
              <x v="8"/>
              <x v="9"/>
              <x v="10"/>
              <x v="11"/>
              <x v="12"/>
              <x v="13"/>
              <x v="14"/>
              <x v="15"/>
              <x v="16"/>
              <x v="17"/>
              <x v="18"/>
              <x v="19"/>
              <x v="20"/>
              <x v="21"/>
              <x v="22"/>
              <x v="23"/>
              <x v="24"/>
              <x v="25"/>
            </reference>
          </references>
        </pivotArea>
      </pivotAreas>
    </conditionalFormat>
    <conditionalFormat priority="1">
      <pivotAreas count="1">
        <pivotArea type="data" outline="0" collapsedLevelsAreSubtotals="1" fieldPosition="0">
          <references count="2">
            <reference field="4294967294" count="1" selected="0">
              <x v="3"/>
            </reference>
            <reference field="0" count="26" selected="0">
              <x v="0"/>
              <x v="1"/>
              <x v="2"/>
              <x v="3"/>
              <x v="4"/>
              <x v="5"/>
              <x v="6"/>
              <x v="7"/>
              <x v="8"/>
              <x v="9"/>
              <x v="10"/>
              <x v="11"/>
              <x v="12"/>
              <x v="13"/>
              <x v="14"/>
              <x v="15"/>
              <x v="16"/>
              <x v="17"/>
              <x v="18"/>
              <x v="19"/>
              <x v="20"/>
              <x v="21"/>
              <x v="22"/>
              <x v="23"/>
              <x v="24"/>
              <x v="2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D54A4D2-9FC5-4ACB-B596-5B5A6B94AA22}" sourceName="Region">
  <pivotTables>
    <pivotTable tabId="10" name="PivotTable2"/>
  </pivotTables>
  <data>
    <tabular pivotCacheId="1376663658">
      <items count="5">
        <i x="4" s="1"/>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76C7978A-0A49-4F11-B37C-29370B67F972}" sourceName="Name">
  <pivotTables>
    <pivotTable tabId="11" name="PivotTable5"/>
    <pivotTable tabId="10" name="PivotTable1"/>
    <pivotTable tabId="10" name="PivotTable2"/>
    <pivotTable tabId="10" name="PivotTable3"/>
  </pivotTables>
  <data>
    <tabular pivotCacheId="1376663658">
      <items count="26">
        <i x="15" s="1"/>
        <i x="1" s="1"/>
        <i x="5" s="1"/>
        <i x="7" s="1"/>
        <i x="9" s="1"/>
        <i x="23" s="1"/>
        <i x="17" s="1"/>
        <i x="24" s="1"/>
        <i x="2" s="1"/>
        <i x="21" s="1"/>
        <i x="0" s="1"/>
        <i x="20" s="1"/>
        <i x="13" s="1"/>
        <i x="3" s="1"/>
        <i x="10" s="1"/>
        <i x="22" s="1"/>
        <i x="16" s="1"/>
        <i x="4" s="1"/>
        <i x="14" s="1"/>
        <i x="25" s="1"/>
        <i x="8" s="1"/>
        <i x="12" s="1"/>
        <i x="11" s="1"/>
        <i x="6" s="1"/>
        <i x="19"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10E6CB5-66CB-4CF7-A47D-DFF6C58BDB84}"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64F8AE53-4DC2-446B-9003-BEB0389C2CA9}" cache="Slicer_Name" caption="Name"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08F692-B98A-4345-AAE2-5AA9C93DF5D7}" name="Salesdata" displayName="Salesdata" ref="A1:K313" totalsRowShown="0">
  <autoFilter ref="A1:K313" xr:uid="{4A08F692-B98A-4345-AAE2-5AA9C93DF5D7}"/>
  <tableColumns count="11">
    <tableColumn id="1" xr3:uid="{9419727C-D495-4F83-B73A-0C760F6AA3C5}" name="Name"/>
    <tableColumn id="11" xr3:uid="{FC1A0FFB-88AB-4DE1-9F2B-ED622BCF6E29}" name="Region"/>
    <tableColumn id="2" xr3:uid="{903EA04F-B5F0-4B62-89E2-41E5BAC49B7C}" name="Date" dataDxfId="15"/>
    <tableColumn id="3" xr3:uid="{31B903E8-501F-44A3-85C2-E3E9CFE208BD}" name="Total Calls"/>
    <tableColumn id="4" xr3:uid="{19CA921D-2C89-4BE4-AC2E-59C21AFF9862}" name="Calls Reached"/>
    <tableColumn id="5" xr3:uid="{FDEB9BFE-927F-4225-8AE4-AB447CFEB792}" name="Average Duration (sec)"/>
    <tableColumn id="6" xr3:uid="{4E281678-90B8-4268-B78C-79294415A08D}" name="Deals Closed"/>
    <tableColumn id="7" xr3:uid="{32854B12-9CB1-4998-BBE9-147582111387}" name="Call Conversion Rate (%)" dataDxfId="14"/>
    <tableColumn id="8" xr3:uid="{40BC8408-1176-4220-AE31-05D3E8D7DC4D}" name="Deal Value ($)"/>
    <tableColumn id="10" xr3:uid="{66E99610-BAD4-4F41-A1A1-9EBBD5033D9A}" name="Service Level"/>
    <tableColumn id="9" xr3:uid="{B9D69C25-9758-42EE-B882-F16FD8258E05}" name="Call Drop Rate (%)" dataDxf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9580B-5011-4972-B83D-E28E9AB99080}">
  <dimension ref="A3:E33"/>
  <sheetViews>
    <sheetView workbookViewId="0">
      <selection activeCell="J12" sqref="G12:J12"/>
    </sheetView>
  </sheetViews>
  <sheetFormatPr defaultRowHeight="14.4" x14ac:dyDescent="0.3"/>
  <cols>
    <col min="1" max="1" width="12.5546875" bestFit="1" customWidth="1"/>
    <col min="2" max="3" width="19.33203125" bestFit="1" customWidth="1"/>
    <col min="4" max="4" width="19.109375" bestFit="1" customWidth="1"/>
    <col min="5" max="5" width="12" bestFit="1" customWidth="1"/>
    <col min="8" max="8" width="12" bestFit="1" customWidth="1"/>
  </cols>
  <sheetData>
    <row r="3" spans="1:5" x14ac:dyDescent="0.3">
      <c r="A3" s="3" t="s">
        <v>44</v>
      </c>
    </row>
    <row r="4" spans="1:5" x14ac:dyDescent="0.3">
      <c r="A4" s="6" t="s">
        <v>46</v>
      </c>
      <c r="B4">
        <v>18300</v>
      </c>
    </row>
    <row r="5" spans="1:5" x14ac:dyDescent="0.3">
      <c r="A5" s="6" t="s">
        <v>48</v>
      </c>
      <c r="B5">
        <v>1309</v>
      </c>
    </row>
    <row r="6" spans="1:5" x14ac:dyDescent="0.3">
      <c r="A6" s="6" t="s">
        <v>49</v>
      </c>
      <c r="B6">
        <v>706194.88999999966</v>
      </c>
    </row>
    <row r="7" spans="1:5" x14ac:dyDescent="0.3">
      <c r="A7" s="6" t="s">
        <v>47</v>
      </c>
      <c r="B7">
        <v>3619</v>
      </c>
    </row>
    <row r="11" spans="1:5" x14ac:dyDescent="0.3">
      <c r="A11" s="3" t="s">
        <v>45</v>
      </c>
      <c r="B11" t="s">
        <v>67</v>
      </c>
    </row>
    <row r="12" spans="1:5" x14ac:dyDescent="0.3">
      <c r="A12" s="4" t="s">
        <v>41</v>
      </c>
      <c r="B12">
        <v>1.9830508474576272</v>
      </c>
      <c r="D12" s="4" t="str">
        <f>A12</f>
        <v>Barisal</v>
      </c>
      <c r="E12">
        <f>GETPIVOTDATA("Service Level",$A$11,"Region","Barisal")</f>
        <v>1.9830508474576272</v>
      </c>
    </row>
    <row r="13" spans="1:5" x14ac:dyDescent="0.3">
      <c r="A13" s="4" t="s">
        <v>40</v>
      </c>
      <c r="B13">
        <v>1.9767441860465116</v>
      </c>
      <c r="D13" s="4" t="str">
        <f t="shared" ref="D13:D17" si="0">A13</f>
        <v>Chittagong</v>
      </c>
      <c r="E13">
        <f t="shared" ref="E13:E16" si="1">GETPIVOTDATA("Service Level",$A$11,"Region","Barisal")</f>
        <v>1.9830508474576272</v>
      </c>
    </row>
    <row r="14" spans="1:5" x14ac:dyDescent="0.3">
      <c r="A14" s="4" t="s">
        <v>12</v>
      </c>
      <c r="B14">
        <v>2</v>
      </c>
      <c r="D14" s="4" t="str">
        <f t="shared" si="0"/>
        <v>Dhaka</v>
      </c>
      <c r="E14">
        <f>GETPIVOTDATA("Service Level",$A$11,"Region","Dhaka")</f>
        <v>2</v>
      </c>
    </row>
    <row r="15" spans="1:5" x14ac:dyDescent="0.3">
      <c r="A15" s="4" t="s">
        <v>36</v>
      </c>
      <c r="B15">
        <v>1.9787234042553192</v>
      </c>
      <c r="D15" s="4" t="str">
        <f t="shared" si="0"/>
        <v>Rangpur</v>
      </c>
      <c r="E15">
        <f t="shared" si="1"/>
        <v>1.9830508474576272</v>
      </c>
    </row>
    <row r="16" spans="1:5" x14ac:dyDescent="0.3">
      <c r="A16" s="4" t="s">
        <v>39</v>
      </c>
      <c r="B16">
        <v>1.9545454545454546</v>
      </c>
      <c r="D16" s="4" t="str">
        <f t="shared" si="0"/>
        <v>Sylhet</v>
      </c>
      <c r="E16">
        <f t="shared" si="1"/>
        <v>1.9830508474576272</v>
      </c>
    </row>
    <row r="17" spans="1:4" x14ac:dyDescent="0.3">
      <c r="A17" s="4" t="s">
        <v>43</v>
      </c>
      <c r="B17">
        <v>1.9807692307692308</v>
      </c>
      <c r="D17" s="4" t="str">
        <f t="shared" si="0"/>
        <v>Grand Total</v>
      </c>
    </row>
    <row r="20" spans="1:4" x14ac:dyDescent="0.3">
      <c r="A20" s="3" t="s">
        <v>45</v>
      </c>
      <c r="B20" t="s">
        <v>42</v>
      </c>
    </row>
    <row r="21" spans="1:4" x14ac:dyDescent="0.3">
      <c r="A21" s="4" t="s">
        <v>55</v>
      </c>
      <c r="B21">
        <v>57863.17</v>
      </c>
    </row>
    <row r="22" spans="1:4" x14ac:dyDescent="0.3">
      <c r="A22" s="4" t="s">
        <v>56</v>
      </c>
      <c r="B22">
        <v>59230.42</v>
      </c>
    </row>
    <row r="23" spans="1:4" x14ac:dyDescent="0.3">
      <c r="A23" s="4" t="s">
        <v>57</v>
      </c>
      <c r="B23">
        <v>60127</v>
      </c>
    </row>
    <row r="24" spans="1:4" x14ac:dyDescent="0.3">
      <c r="A24" s="4" t="s">
        <v>58</v>
      </c>
      <c r="B24">
        <v>58604.41</v>
      </c>
    </row>
    <row r="25" spans="1:4" x14ac:dyDescent="0.3">
      <c r="A25" s="4" t="s">
        <v>59</v>
      </c>
      <c r="B25">
        <v>58564.01999999999</v>
      </c>
    </row>
    <row r="26" spans="1:4" x14ac:dyDescent="0.3">
      <c r="A26" s="4" t="s">
        <v>60</v>
      </c>
      <c r="B26">
        <v>58260.729999999996</v>
      </c>
    </row>
    <row r="27" spans="1:4" x14ac:dyDescent="0.3">
      <c r="A27" s="4" t="s">
        <v>61</v>
      </c>
      <c r="B27">
        <v>58845.83</v>
      </c>
    </row>
    <row r="28" spans="1:4" x14ac:dyDescent="0.3">
      <c r="A28" s="4" t="s">
        <v>62</v>
      </c>
      <c r="B28">
        <v>58668.120000000017</v>
      </c>
    </row>
    <row r="29" spans="1:4" x14ac:dyDescent="0.3">
      <c r="A29" s="4" t="s">
        <v>63</v>
      </c>
      <c r="B29">
        <v>59025.210000000006</v>
      </c>
    </row>
    <row r="30" spans="1:4" x14ac:dyDescent="0.3">
      <c r="A30" s="4" t="s">
        <v>64</v>
      </c>
      <c r="B30">
        <v>58653.95</v>
      </c>
    </row>
    <row r="31" spans="1:4" x14ac:dyDescent="0.3">
      <c r="A31" s="4" t="s">
        <v>65</v>
      </c>
      <c r="B31">
        <v>59136.610000000008</v>
      </c>
    </row>
    <row r="32" spans="1:4" x14ac:dyDescent="0.3">
      <c r="A32" s="4" t="s">
        <v>66</v>
      </c>
      <c r="B32">
        <v>59215.419999999984</v>
      </c>
    </row>
    <row r="33" spans="1:2" x14ac:dyDescent="0.3">
      <c r="A33" s="4" t="s">
        <v>43</v>
      </c>
      <c r="B33">
        <v>706194.8899999999</v>
      </c>
    </row>
  </sheetData>
  <pageMargins left="0.7" right="0.7" top="0.75" bottom="0.75" header="0.3" footer="0.3"/>
  <pageSetup paperSize="9" orientation="portrait" r:id="rId4"/>
  <ignoredErrors>
    <ignoredError sqref="E14" formula="1"/>
  </ignoredErrors>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142ED-9656-49C8-8917-224424D6A8AB}">
  <dimension ref="A1:K313"/>
  <sheetViews>
    <sheetView workbookViewId="0">
      <selection activeCell="M64" sqref="M64"/>
    </sheetView>
  </sheetViews>
  <sheetFormatPr defaultRowHeight="14.4" x14ac:dyDescent="0.3"/>
  <cols>
    <col min="1" max="1" width="8.21875" bestFit="1" customWidth="1"/>
    <col min="2" max="2" width="9.77734375" bestFit="1" customWidth="1"/>
    <col min="3" max="3" width="10.5546875" bestFit="1" customWidth="1"/>
    <col min="4" max="4" width="11.6640625" bestFit="1" customWidth="1"/>
    <col min="5" max="5" width="14.6640625" bestFit="1" customWidth="1"/>
    <col min="6" max="6" width="22.5546875" bestFit="1" customWidth="1"/>
    <col min="7" max="7" width="13.6640625" bestFit="1" customWidth="1"/>
    <col min="8" max="8" width="23.88671875" bestFit="1" customWidth="1"/>
    <col min="9" max="9" width="14.88671875" bestFit="1" customWidth="1"/>
    <col min="10" max="10" width="14" bestFit="1" customWidth="1"/>
    <col min="11" max="11" width="18.33203125" bestFit="1" customWidth="1"/>
  </cols>
  <sheetData>
    <row r="1" spans="1:11" x14ac:dyDescent="0.3">
      <c r="A1" t="s">
        <v>0</v>
      </c>
      <c r="B1" t="s">
        <v>1</v>
      </c>
      <c r="C1" s="1" t="s">
        <v>2</v>
      </c>
      <c r="D1" t="s">
        <v>3</v>
      </c>
      <c r="E1" t="s">
        <v>4</v>
      </c>
      <c r="F1" t="s">
        <v>5</v>
      </c>
      <c r="G1" t="s">
        <v>6</v>
      </c>
      <c r="H1" s="2" t="s">
        <v>7</v>
      </c>
      <c r="I1" t="s">
        <v>8</v>
      </c>
      <c r="J1" t="s">
        <v>9</v>
      </c>
      <c r="K1" t="s">
        <v>10</v>
      </c>
    </row>
    <row r="2" spans="1:11" x14ac:dyDescent="0.3">
      <c r="A2" t="s">
        <v>11</v>
      </c>
      <c r="B2" t="s">
        <v>12</v>
      </c>
      <c r="C2" s="1">
        <v>45292</v>
      </c>
      <c r="D2">
        <v>74</v>
      </c>
      <c r="E2">
        <v>12</v>
      </c>
      <c r="F2">
        <v>330.42</v>
      </c>
      <c r="G2">
        <v>7</v>
      </c>
      <c r="H2" s="2">
        <v>0.58333333333333337</v>
      </c>
      <c r="I2">
        <v>4276.3100000000004</v>
      </c>
      <c r="J2">
        <v>3</v>
      </c>
      <c r="K2" s="2">
        <v>2.9500000000000002E-2</v>
      </c>
    </row>
    <row r="3" spans="1:11" x14ac:dyDescent="0.3">
      <c r="A3" t="s">
        <v>13</v>
      </c>
      <c r="B3" t="s">
        <v>12</v>
      </c>
      <c r="C3" s="1">
        <v>45292</v>
      </c>
      <c r="D3">
        <v>78</v>
      </c>
      <c r="E3">
        <v>12</v>
      </c>
      <c r="F3">
        <v>377.5</v>
      </c>
      <c r="G3">
        <v>4</v>
      </c>
      <c r="H3" s="2">
        <v>0.33333333333333331</v>
      </c>
      <c r="I3">
        <v>3880.98</v>
      </c>
      <c r="J3">
        <v>2</v>
      </c>
      <c r="K3" s="2">
        <v>4.3400000000000001E-2</v>
      </c>
    </row>
    <row r="4" spans="1:11" x14ac:dyDescent="0.3">
      <c r="A4" t="s">
        <v>14</v>
      </c>
      <c r="B4" t="s">
        <v>12</v>
      </c>
      <c r="C4" s="1">
        <v>45292</v>
      </c>
      <c r="D4">
        <v>47</v>
      </c>
      <c r="E4">
        <v>14</v>
      </c>
      <c r="F4">
        <v>418.92</v>
      </c>
      <c r="G4">
        <v>2</v>
      </c>
      <c r="H4" s="2">
        <v>0.14285714285714285</v>
      </c>
      <c r="I4">
        <v>3716</v>
      </c>
      <c r="J4">
        <v>1</v>
      </c>
      <c r="K4" s="2">
        <v>4.3899999999999995E-2</v>
      </c>
    </row>
    <row r="5" spans="1:11" x14ac:dyDescent="0.3">
      <c r="A5" t="s">
        <v>15</v>
      </c>
      <c r="B5" t="s">
        <v>12</v>
      </c>
      <c r="C5" s="1">
        <v>45292</v>
      </c>
      <c r="D5">
        <v>24</v>
      </c>
      <c r="E5">
        <v>6</v>
      </c>
      <c r="F5">
        <v>76.930000000000007</v>
      </c>
      <c r="G5">
        <v>4</v>
      </c>
      <c r="H5" s="2">
        <v>0.66666666666666663</v>
      </c>
      <c r="I5">
        <v>1552.35</v>
      </c>
      <c r="J5">
        <v>3</v>
      </c>
      <c r="K5" s="2">
        <v>3.0800000000000001E-2</v>
      </c>
    </row>
    <row r="6" spans="1:11" x14ac:dyDescent="0.3">
      <c r="A6" t="s">
        <v>16</v>
      </c>
      <c r="B6" t="s">
        <v>12</v>
      </c>
      <c r="C6" s="1">
        <v>45292</v>
      </c>
      <c r="D6">
        <v>81</v>
      </c>
      <c r="E6">
        <v>16</v>
      </c>
      <c r="F6">
        <v>516.23</v>
      </c>
      <c r="G6">
        <v>5</v>
      </c>
      <c r="H6" s="2">
        <v>0.3125</v>
      </c>
      <c r="I6">
        <v>1030.68</v>
      </c>
      <c r="J6">
        <v>2</v>
      </c>
      <c r="K6" s="2">
        <v>4.1100000000000005E-2</v>
      </c>
    </row>
    <row r="7" spans="1:11" x14ac:dyDescent="0.3">
      <c r="A7" t="s">
        <v>17</v>
      </c>
      <c r="B7" t="s">
        <v>12</v>
      </c>
      <c r="C7" s="1">
        <v>45292</v>
      </c>
      <c r="D7">
        <v>59</v>
      </c>
      <c r="E7">
        <v>5</v>
      </c>
      <c r="F7">
        <v>520.05999999999995</v>
      </c>
      <c r="G7">
        <v>3</v>
      </c>
      <c r="H7" s="2">
        <v>0.6</v>
      </c>
      <c r="I7">
        <v>3546.72</v>
      </c>
      <c r="J7">
        <v>1</v>
      </c>
      <c r="K7" s="2">
        <v>1.2699999999999999E-2</v>
      </c>
    </row>
    <row r="8" spans="1:11" x14ac:dyDescent="0.3">
      <c r="A8" t="s">
        <v>18</v>
      </c>
      <c r="B8" t="s">
        <v>12</v>
      </c>
      <c r="C8" s="1">
        <v>45292</v>
      </c>
      <c r="D8">
        <v>68</v>
      </c>
      <c r="E8">
        <v>19</v>
      </c>
      <c r="F8">
        <v>290.39</v>
      </c>
      <c r="G8">
        <v>3</v>
      </c>
      <c r="H8" s="2">
        <v>0.15789473684210525</v>
      </c>
      <c r="I8">
        <v>2472.2399999999998</v>
      </c>
      <c r="J8">
        <v>3</v>
      </c>
      <c r="K8" s="2">
        <v>9.5399999999999985E-2</v>
      </c>
    </row>
    <row r="9" spans="1:11" x14ac:dyDescent="0.3">
      <c r="A9" t="s">
        <v>19</v>
      </c>
      <c r="B9" t="s">
        <v>12</v>
      </c>
      <c r="C9" s="1">
        <v>45292</v>
      </c>
      <c r="D9">
        <v>60</v>
      </c>
      <c r="E9">
        <v>7</v>
      </c>
      <c r="F9">
        <v>251.7</v>
      </c>
      <c r="G9">
        <v>5</v>
      </c>
      <c r="H9" s="2">
        <v>0.7142857142857143</v>
      </c>
      <c r="I9">
        <v>3956.69</v>
      </c>
      <c r="J9">
        <v>2</v>
      </c>
      <c r="K9" s="2">
        <v>4.1100000000000005E-2</v>
      </c>
    </row>
    <row r="10" spans="1:11" x14ac:dyDescent="0.3">
      <c r="A10" t="s">
        <v>20</v>
      </c>
      <c r="B10" t="s">
        <v>12</v>
      </c>
      <c r="C10" s="1">
        <v>45292</v>
      </c>
      <c r="D10">
        <v>34</v>
      </c>
      <c r="E10">
        <v>21</v>
      </c>
      <c r="F10">
        <v>362.62</v>
      </c>
      <c r="G10">
        <v>9</v>
      </c>
      <c r="H10" s="2">
        <v>0.42857142857142855</v>
      </c>
      <c r="I10">
        <v>1140.08</v>
      </c>
      <c r="J10">
        <v>1</v>
      </c>
      <c r="K10" s="2">
        <v>5.4600000000000003E-2</v>
      </c>
    </row>
    <row r="11" spans="1:11" x14ac:dyDescent="0.3">
      <c r="A11" t="s">
        <v>21</v>
      </c>
      <c r="B11" t="s">
        <v>12</v>
      </c>
      <c r="C11" s="1">
        <v>45292</v>
      </c>
      <c r="D11">
        <v>59</v>
      </c>
      <c r="E11">
        <v>13</v>
      </c>
      <c r="F11">
        <v>307.49</v>
      </c>
      <c r="G11">
        <v>10</v>
      </c>
      <c r="H11" s="2">
        <v>0.76923076923076927</v>
      </c>
      <c r="I11">
        <v>979.09</v>
      </c>
      <c r="J11">
        <v>3</v>
      </c>
      <c r="K11" s="2">
        <v>3.27E-2</v>
      </c>
    </row>
    <row r="12" spans="1:11" x14ac:dyDescent="0.3">
      <c r="A12" t="s">
        <v>22</v>
      </c>
      <c r="B12" t="s">
        <v>12</v>
      </c>
      <c r="C12" s="1">
        <v>45292</v>
      </c>
      <c r="D12">
        <v>18</v>
      </c>
      <c r="E12">
        <v>8</v>
      </c>
      <c r="F12">
        <v>206.81</v>
      </c>
      <c r="G12">
        <v>7</v>
      </c>
      <c r="H12" s="2">
        <v>0.875</v>
      </c>
      <c r="I12">
        <v>720.56</v>
      </c>
      <c r="J12">
        <v>2</v>
      </c>
      <c r="K12" s="2">
        <v>7.8899999999999998E-2</v>
      </c>
    </row>
    <row r="13" spans="1:11" x14ac:dyDescent="0.3">
      <c r="A13" t="s">
        <v>23</v>
      </c>
      <c r="B13" t="s">
        <v>12</v>
      </c>
      <c r="C13" s="1">
        <v>45292</v>
      </c>
      <c r="D13">
        <v>36</v>
      </c>
      <c r="E13">
        <v>6</v>
      </c>
      <c r="F13">
        <v>547.6</v>
      </c>
      <c r="G13">
        <v>5</v>
      </c>
      <c r="H13" s="2">
        <v>0.83333333333333337</v>
      </c>
      <c r="I13">
        <v>3463.18</v>
      </c>
      <c r="J13">
        <v>1</v>
      </c>
      <c r="K13" s="2">
        <v>3.7599999999999995E-2</v>
      </c>
    </row>
    <row r="14" spans="1:11" x14ac:dyDescent="0.3">
      <c r="A14" t="s">
        <v>24</v>
      </c>
      <c r="B14" t="s">
        <v>12</v>
      </c>
      <c r="C14" s="1">
        <v>45292</v>
      </c>
      <c r="D14">
        <v>67</v>
      </c>
      <c r="E14">
        <v>17</v>
      </c>
      <c r="F14">
        <v>552.54999999999995</v>
      </c>
      <c r="G14">
        <v>2</v>
      </c>
      <c r="H14" s="2">
        <v>0.11764705882352941</v>
      </c>
      <c r="I14">
        <v>330.12</v>
      </c>
      <c r="J14">
        <v>1</v>
      </c>
      <c r="K14" s="2">
        <v>3.7200000000000004E-2</v>
      </c>
    </row>
    <row r="15" spans="1:11" x14ac:dyDescent="0.3">
      <c r="A15" t="s">
        <v>25</v>
      </c>
      <c r="B15" t="s">
        <v>12</v>
      </c>
      <c r="C15" s="1">
        <v>45292</v>
      </c>
      <c r="D15">
        <v>36</v>
      </c>
      <c r="E15">
        <v>9</v>
      </c>
      <c r="F15">
        <v>216.03</v>
      </c>
      <c r="G15">
        <v>2</v>
      </c>
      <c r="H15" s="2">
        <v>0.22222222222222221</v>
      </c>
      <c r="I15">
        <v>4072.07</v>
      </c>
      <c r="J15">
        <v>3</v>
      </c>
      <c r="K15" s="2">
        <v>4.1200000000000001E-2</v>
      </c>
    </row>
    <row r="16" spans="1:11" x14ac:dyDescent="0.3">
      <c r="A16" t="s">
        <v>26</v>
      </c>
      <c r="B16" t="s">
        <v>12</v>
      </c>
      <c r="C16" s="1">
        <v>45292</v>
      </c>
      <c r="D16">
        <v>54</v>
      </c>
      <c r="E16">
        <v>10</v>
      </c>
      <c r="F16">
        <v>208.23</v>
      </c>
      <c r="G16">
        <v>3</v>
      </c>
      <c r="H16" s="2">
        <v>0.3</v>
      </c>
      <c r="I16">
        <v>645.83000000000004</v>
      </c>
      <c r="J16">
        <v>2</v>
      </c>
      <c r="K16" s="2">
        <v>2.7999999999999997E-2</v>
      </c>
    </row>
    <row r="17" spans="1:11" x14ac:dyDescent="0.3">
      <c r="A17" t="s">
        <v>27</v>
      </c>
      <c r="B17" t="s">
        <v>12</v>
      </c>
      <c r="C17" s="1">
        <v>45292</v>
      </c>
      <c r="D17">
        <v>82</v>
      </c>
      <c r="E17">
        <v>4</v>
      </c>
      <c r="F17">
        <v>180.06</v>
      </c>
      <c r="G17">
        <v>4</v>
      </c>
      <c r="H17" s="2">
        <v>1</v>
      </c>
      <c r="I17">
        <v>1207.17</v>
      </c>
      <c r="J17">
        <v>1</v>
      </c>
      <c r="K17" s="2">
        <v>8.4199999999999997E-2</v>
      </c>
    </row>
    <row r="18" spans="1:11" x14ac:dyDescent="0.3">
      <c r="A18" t="s">
        <v>28</v>
      </c>
      <c r="B18" t="s">
        <v>12</v>
      </c>
      <c r="C18" s="1">
        <v>45292</v>
      </c>
      <c r="D18">
        <v>81</v>
      </c>
      <c r="E18">
        <v>7</v>
      </c>
      <c r="F18">
        <v>82.43</v>
      </c>
      <c r="G18">
        <v>7</v>
      </c>
      <c r="H18" s="2">
        <v>1</v>
      </c>
      <c r="I18">
        <v>3463.96</v>
      </c>
      <c r="J18">
        <v>3</v>
      </c>
      <c r="K18" s="2">
        <v>8.4900000000000003E-2</v>
      </c>
    </row>
    <row r="19" spans="1:11" x14ac:dyDescent="0.3">
      <c r="A19" t="s">
        <v>29</v>
      </c>
      <c r="B19" t="s">
        <v>12</v>
      </c>
      <c r="C19" s="1">
        <v>45292</v>
      </c>
      <c r="D19">
        <v>31</v>
      </c>
      <c r="E19">
        <v>17</v>
      </c>
      <c r="F19">
        <v>476.95</v>
      </c>
      <c r="G19">
        <v>7</v>
      </c>
      <c r="H19" s="2">
        <v>0.41176470588235292</v>
      </c>
      <c r="I19">
        <v>3945.43</v>
      </c>
      <c r="J19">
        <v>2</v>
      </c>
      <c r="K19" s="2">
        <v>3.6000000000000004E-2</v>
      </c>
    </row>
    <row r="20" spans="1:11" x14ac:dyDescent="0.3">
      <c r="A20" t="s">
        <v>30</v>
      </c>
      <c r="B20" t="s">
        <v>12</v>
      </c>
      <c r="C20" s="1">
        <v>45292</v>
      </c>
      <c r="D20">
        <v>92</v>
      </c>
      <c r="E20">
        <v>20</v>
      </c>
      <c r="F20">
        <v>161.41999999999999</v>
      </c>
      <c r="G20">
        <v>4</v>
      </c>
      <c r="H20" s="2">
        <v>0.2</v>
      </c>
      <c r="I20">
        <v>425.41</v>
      </c>
      <c r="J20">
        <v>1</v>
      </c>
      <c r="K20" s="2">
        <v>0.1045</v>
      </c>
    </row>
    <row r="21" spans="1:11" x14ac:dyDescent="0.3">
      <c r="A21" t="s">
        <v>31</v>
      </c>
      <c r="B21" t="s">
        <v>12</v>
      </c>
      <c r="C21" s="1">
        <v>45292</v>
      </c>
      <c r="D21">
        <v>73</v>
      </c>
      <c r="E21">
        <v>12</v>
      </c>
      <c r="F21">
        <v>507.45</v>
      </c>
      <c r="G21">
        <v>0</v>
      </c>
      <c r="H21" s="2">
        <v>0</v>
      </c>
      <c r="I21">
        <v>1123.8399999999999</v>
      </c>
      <c r="J21">
        <v>3</v>
      </c>
      <c r="K21" s="2">
        <v>8.9999999999999998E-4</v>
      </c>
    </row>
    <row r="22" spans="1:11" x14ac:dyDescent="0.3">
      <c r="A22" t="s">
        <v>32</v>
      </c>
      <c r="B22" t="s">
        <v>12</v>
      </c>
      <c r="C22" s="1">
        <v>45292</v>
      </c>
      <c r="D22">
        <v>25</v>
      </c>
      <c r="E22">
        <v>14</v>
      </c>
      <c r="F22">
        <v>279.95</v>
      </c>
      <c r="G22">
        <v>2</v>
      </c>
      <c r="H22" s="2">
        <v>0.14285714285714285</v>
      </c>
      <c r="I22">
        <v>1432.23</v>
      </c>
      <c r="J22">
        <v>2</v>
      </c>
      <c r="K22" s="2">
        <v>5.1699999999999996E-2</v>
      </c>
    </row>
    <row r="23" spans="1:11" x14ac:dyDescent="0.3">
      <c r="A23" t="s">
        <v>33</v>
      </c>
      <c r="B23" t="s">
        <v>12</v>
      </c>
      <c r="C23" s="1">
        <v>45292</v>
      </c>
      <c r="D23">
        <v>96</v>
      </c>
      <c r="E23">
        <v>6</v>
      </c>
      <c r="F23">
        <v>532.83000000000004</v>
      </c>
      <c r="G23">
        <v>1</v>
      </c>
      <c r="H23" s="2">
        <v>0.16666666666666666</v>
      </c>
      <c r="I23">
        <v>3173.13</v>
      </c>
      <c r="J23">
        <v>1</v>
      </c>
      <c r="K23" s="2">
        <v>2.8300000000000002E-2</v>
      </c>
    </row>
    <row r="24" spans="1:11" x14ac:dyDescent="0.3">
      <c r="A24" t="s">
        <v>34</v>
      </c>
      <c r="B24" t="s">
        <v>12</v>
      </c>
      <c r="C24" s="1">
        <v>45292</v>
      </c>
      <c r="D24">
        <v>63</v>
      </c>
      <c r="E24">
        <v>8</v>
      </c>
      <c r="F24">
        <v>170.49</v>
      </c>
      <c r="G24">
        <v>7</v>
      </c>
      <c r="H24" s="2">
        <v>0.875</v>
      </c>
      <c r="I24">
        <v>526.12</v>
      </c>
      <c r="J24">
        <v>3</v>
      </c>
      <c r="K24" s="2">
        <v>8.3499999999999991E-2</v>
      </c>
    </row>
    <row r="25" spans="1:11" x14ac:dyDescent="0.3">
      <c r="A25" t="s">
        <v>35</v>
      </c>
      <c r="B25" t="s">
        <v>36</v>
      </c>
      <c r="C25" s="1">
        <v>45292</v>
      </c>
      <c r="D25">
        <v>92</v>
      </c>
      <c r="E25">
        <v>13</v>
      </c>
      <c r="F25">
        <v>422.39</v>
      </c>
      <c r="G25">
        <v>1</v>
      </c>
      <c r="H25" s="2">
        <v>7.6923076923076927E-2</v>
      </c>
      <c r="I25">
        <v>2695.84</v>
      </c>
      <c r="J25">
        <v>2</v>
      </c>
      <c r="K25" s="2">
        <v>2.46E-2</v>
      </c>
    </row>
    <row r="26" spans="1:11" x14ac:dyDescent="0.3">
      <c r="A26" t="s">
        <v>37</v>
      </c>
      <c r="B26" t="s">
        <v>36</v>
      </c>
      <c r="C26" s="1">
        <v>45292</v>
      </c>
      <c r="D26">
        <v>38</v>
      </c>
      <c r="E26">
        <v>10</v>
      </c>
      <c r="F26">
        <v>514.25</v>
      </c>
      <c r="G26">
        <v>4</v>
      </c>
      <c r="H26" s="2">
        <v>0.4</v>
      </c>
      <c r="I26">
        <v>243.62</v>
      </c>
      <c r="J26">
        <v>1</v>
      </c>
      <c r="K26" s="2">
        <v>6.4399999999999999E-2</v>
      </c>
    </row>
    <row r="27" spans="1:11" x14ac:dyDescent="0.3">
      <c r="A27" t="s">
        <v>38</v>
      </c>
      <c r="B27" t="s">
        <v>36</v>
      </c>
      <c r="C27" s="1">
        <v>45292</v>
      </c>
      <c r="D27">
        <v>43</v>
      </c>
      <c r="E27">
        <v>15</v>
      </c>
      <c r="F27">
        <v>363.48</v>
      </c>
      <c r="G27">
        <v>7</v>
      </c>
      <c r="H27" s="2">
        <v>0.46666666666666667</v>
      </c>
      <c r="I27">
        <v>3843.52</v>
      </c>
      <c r="J27">
        <v>3</v>
      </c>
      <c r="K27" s="2">
        <v>8.3400000000000002E-2</v>
      </c>
    </row>
    <row r="28" spans="1:11" x14ac:dyDescent="0.3">
      <c r="A28" t="s">
        <v>11</v>
      </c>
      <c r="B28" t="s">
        <v>36</v>
      </c>
      <c r="C28" s="1">
        <v>45323</v>
      </c>
      <c r="D28">
        <v>62</v>
      </c>
      <c r="E28">
        <v>15</v>
      </c>
      <c r="F28">
        <v>361.38</v>
      </c>
      <c r="G28">
        <v>6</v>
      </c>
      <c r="H28" s="2">
        <v>0.4</v>
      </c>
      <c r="I28">
        <v>4195.1400000000003</v>
      </c>
      <c r="J28">
        <v>2</v>
      </c>
      <c r="K28" s="2">
        <v>2.75E-2</v>
      </c>
    </row>
    <row r="29" spans="1:11" x14ac:dyDescent="0.3">
      <c r="A29" t="s">
        <v>13</v>
      </c>
      <c r="B29" t="s">
        <v>36</v>
      </c>
      <c r="C29" s="1">
        <v>45323</v>
      </c>
      <c r="D29">
        <v>81</v>
      </c>
      <c r="E29">
        <v>14</v>
      </c>
      <c r="F29">
        <v>362.96</v>
      </c>
      <c r="G29">
        <v>5</v>
      </c>
      <c r="H29" s="2">
        <v>0.35714285714285715</v>
      </c>
      <c r="I29">
        <v>3620.19</v>
      </c>
      <c r="J29">
        <v>1</v>
      </c>
      <c r="K29" s="2">
        <v>4.0800000000000003E-2</v>
      </c>
    </row>
    <row r="30" spans="1:11" x14ac:dyDescent="0.3">
      <c r="A30" t="s">
        <v>14</v>
      </c>
      <c r="B30" t="s">
        <v>36</v>
      </c>
      <c r="C30" s="1">
        <v>45323</v>
      </c>
      <c r="D30">
        <v>52</v>
      </c>
      <c r="E30">
        <v>14</v>
      </c>
      <c r="F30">
        <v>382.59</v>
      </c>
      <c r="G30">
        <v>3</v>
      </c>
      <c r="H30" s="2">
        <v>0.21428571428571427</v>
      </c>
      <c r="I30">
        <v>3394.39</v>
      </c>
      <c r="J30">
        <v>3</v>
      </c>
      <c r="K30" s="2">
        <v>4.5599999999999995E-2</v>
      </c>
    </row>
    <row r="31" spans="1:11" x14ac:dyDescent="0.3">
      <c r="A31" t="s">
        <v>15</v>
      </c>
      <c r="B31" t="s">
        <v>36</v>
      </c>
      <c r="C31" s="1">
        <v>45323</v>
      </c>
      <c r="D31">
        <v>22</v>
      </c>
      <c r="E31">
        <v>7</v>
      </c>
      <c r="F31">
        <v>79.459999999999994</v>
      </c>
      <c r="G31">
        <v>3</v>
      </c>
      <c r="H31" s="2">
        <v>0.42857142857142855</v>
      </c>
      <c r="I31">
        <v>1638.74</v>
      </c>
      <c r="J31">
        <v>2</v>
      </c>
      <c r="K31" s="2">
        <v>3.04E-2</v>
      </c>
    </row>
    <row r="32" spans="1:11" x14ac:dyDescent="0.3">
      <c r="A32" t="s">
        <v>16</v>
      </c>
      <c r="B32" t="s">
        <v>36</v>
      </c>
      <c r="C32" s="1">
        <v>45323</v>
      </c>
      <c r="D32">
        <v>93</v>
      </c>
      <c r="E32">
        <v>11</v>
      </c>
      <c r="F32">
        <v>446.3</v>
      </c>
      <c r="G32">
        <v>5</v>
      </c>
      <c r="H32" s="2">
        <v>0.45454545454545453</v>
      </c>
      <c r="I32">
        <v>1057.1400000000001</v>
      </c>
      <c r="J32">
        <v>1</v>
      </c>
      <c r="K32" s="2">
        <v>3.6900000000000002E-2</v>
      </c>
    </row>
    <row r="33" spans="1:11" x14ac:dyDescent="0.3">
      <c r="A33" t="s">
        <v>17</v>
      </c>
      <c r="B33" t="s">
        <v>36</v>
      </c>
      <c r="C33" s="1">
        <v>45323</v>
      </c>
      <c r="D33">
        <v>65</v>
      </c>
      <c r="E33">
        <v>7</v>
      </c>
      <c r="F33">
        <v>461.67</v>
      </c>
      <c r="G33">
        <v>2</v>
      </c>
      <c r="H33" s="2">
        <v>0.2857142857142857</v>
      </c>
      <c r="I33">
        <v>3486.23</v>
      </c>
      <c r="J33">
        <v>3</v>
      </c>
      <c r="K33" s="2">
        <v>1.1200000000000002E-2</v>
      </c>
    </row>
    <row r="34" spans="1:11" x14ac:dyDescent="0.3">
      <c r="A34" t="s">
        <v>18</v>
      </c>
      <c r="B34" t="s">
        <v>36</v>
      </c>
      <c r="C34" s="1">
        <v>45323</v>
      </c>
      <c r="D34">
        <v>90</v>
      </c>
      <c r="E34">
        <v>20</v>
      </c>
      <c r="F34">
        <v>328.63</v>
      </c>
      <c r="G34">
        <v>3</v>
      </c>
      <c r="H34" s="2">
        <v>0.15</v>
      </c>
      <c r="I34">
        <v>2662.44</v>
      </c>
      <c r="J34">
        <v>2</v>
      </c>
      <c r="K34" s="2">
        <v>0.10640000000000001</v>
      </c>
    </row>
    <row r="35" spans="1:11" x14ac:dyDescent="0.3">
      <c r="A35" t="s">
        <v>19</v>
      </c>
      <c r="B35" t="s">
        <v>36</v>
      </c>
      <c r="C35" s="1">
        <v>45323</v>
      </c>
      <c r="D35">
        <v>48</v>
      </c>
      <c r="E35">
        <v>7</v>
      </c>
      <c r="F35">
        <v>247.66</v>
      </c>
      <c r="G35">
        <v>6</v>
      </c>
      <c r="H35" s="2">
        <v>0.8571428571428571</v>
      </c>
      <c r="I35">
        <v>4335.84</v>
      </c>
      <c r="J35">
        <v>1</v>
      </c>
      <c r="K35" s="2">
        <v>3.9900000000000005E-2</v>
      </c>
    </row>
    <row r="36" spans="1:11" x14ac:dyDescent="0.3">
      <c r="A36" t="s">
        <v>20</v>
      </c>
      <c r="B36" t="s">
        <v>36</v>
      </c>
      <c r="C36" s="1">
        <v>45323</v>
      </c>
      <c r="D36">
        <v>37</v>
      </c>
      <c r="E36">
        <v>17</v>
      </c>
      <c r="F36">
        <v>378.61</v>
      </c>
      <c r="G36">
        <v>10</v>
      </c>
      <c r="H36" s="2">
        <v>0.58823529411764708</v>
      </c>
      <c r="I36">
        <v>1295.07</v>
      </c>
      <c r="J36">
        <v>3</v>
      </c>
      <c r="K36" s="2">
        <v>5.6299999999999996E-2</v>
      </c>
    </row>
    <row r="37" spans="1:11" x14ac:dyDescent="0.3">
      <c r="A37" t="s">
        <v>21</v>
      </c>
      <c r="B37" t="s">
        <v>36</v>
      </c>
      <c r="C37" s="1">
        <v>45323</v>
      </c>
      <c r="D37">
        <v>68</v>
      </c>
      <c r="E37">
        <v>16</v>
      </c>
      <c r="F37">
        <v>299.58999999999997</v>
      </c>
      <c r="G37">
        <v>9</v>
      </c>
      <c r="H37" s="2">
        <v>0.5625</v>
      </c>
      <c r="I37">
        <v>979.47</v>
      </c>
      <c r="J37">
        <v>2</v>
      </c>
      <c r="K37" s="2">
        <v>3.6900000000000002E-2</v>
      </c>
    </row>
    <row r="38" spans="1:11" x14ac:dyDescent="0.3">
      <c r="A38" t="s">
        <v>22</v>
      </c>
      <c r="B38" t="s">
        <v>36</v>
      </c>
      <c r="C38" s="1">
        <v>45323</v>
      </c>
      <c r="D38">
        <v>20</v>
      </c>
      <c r="E38">
        <v>9</v>
      </c>
      <c r="F38">
        <v>202.4</v>
      </c>
      <c r="G38">
        <v>7</v>
      </c>
      <c r="H38" s="2">
        <v>0.77777777777777779</v>
      </c>
      <c r="I38">
        <v>732.99</v>
      </c>
      <c r="J38">
        <v>1</v>
      </c>
      <c r="K38" s="2">
        <v>7.9000000000000001E-2</v>
      </c>
    </row>
    <row r="39" spans="1:11" x14ac:dyDescent="0.3">
      <c r="A39" t="s">
        <v>23</v>
      </c>
      <c r="B39" t="s">
        <v>36</v>
      </c>
      <c r="C39" s="1">
        <v>45323</v>
      </c>
      <c r="D39">
        <v>35</v>
      </c>
      <c r="E39">
        <v>6</v>
      </c>
      <c r="F39">
        <v>568.38</v>
      </c>
      <c r="G39">
        <v>6</v>
      </c>
      <c r="H39" s="2">
        <v>1</v>
      </c>
      <c r="I39">
        <v>3949.69</v>
      </c>
      <c r="J39">
        <v>1</v>
      </c>
      <c r="K39" s="2">
        <v>3.7499999999999999E-2</v>
      </c>
    </row>
    <row r="40" spans="1:11" x14ac:dyDescent="0.3">
      <c r="A40" t="s">
        <v>24</v>
      </c>
      <c r="B40" t="s">
        <v>36</v>
      </c>
      <c r="C40" s="1">
        <v>45323</v>
      </c>
      <c r="D40">
        <v>68</v>
      </c>
      <c r="E40">
        <v>21</v>
      </c>
      <c r="F40">
        <v>553.08000000000004</v>
      </c>
      <c r="G40">
        <v>3</v>
      </c>
      <c r="H40" s="2">
        <v>0.14285714285714285</v>
      </c>
      <c r="I40">
        <v>360.7</v>
      </c>
      <c r="J40">
        <v>3</v>
      </c>
      <c r="K40" s="2">
        <v>3.3399999999999999E-2</v>
      </c>
    </row>
    <row r="41" spans="1:11" x14ac:dyDescent="0.3">
      <c r="A41" t="s">
        <v>25</v>
      </c>
      <c r="B41" t="s">
        <v>36</v>
      </c>
      <c r="C41" s="1">
        <v>45323</v>
      </c>
      <c r="D41">
        <v>30</v>
      </c>
      <c r="E41">
        <v>8</v>
      </c>
      <c r="F41">
        <v>223.22</v>
      </c>
      <c r="G41">
        <v>2</v>
      </c>
      <c r="H41" s="2">
        <v>0.25</v>
      </c>
      <c r="I41">
        <v>3595.12</v>
      </c>
      <c r="J41">
        <v>2</v>
      </c>
      <c r="K41" s="2">
        <v>4.3400000000000001E-2</v>
      </c>
    </row>
    <row r="42" spans="1:11" x14ac:dyDescent="0.3">
      <c r="A42" t="s">
        <v>26</v>
      </c>
      <c r="B42" t="s">
        <v>36</v>
      </c>
      <c r="C42" s="1">
        <v>45323</v>
      </c>
      <c r="D42">
        <v>69</v>
      </c>
      <c r="E42">
        <v>8</v>
      </c>
      <c r="F42">
        <v>199.93</v>
      </c>
      <c r="G42">
        <v>2</v>
      </c>
      <c r="H42" s="2">
        <v>0.25</v>
      </c>
      <c r="I42">
        <v>610.66</v>
      </c>
      <c r="J42">
        <v>1</v>
      </c>
      <c r="K42" s="2">
        <v>2.8199999999999999E-2</v>
      </c>
    </row>
    <row r="43" spans="1:11" x14ac:dyDescent="0.3">
      <c r="A43" t="s">
        <v>27</v>
      </c>
      <c r="B43" t="s">
        <v>36</v>
      </c>
      <c r="C43" s="1">
        <v>45323</v>
      </c>
      <c r="D43">
        <v>92</v>
      </c>
      <c r="E43">
        <v>6</v>
      </c>
      <c r="F43">
        <v>180.46</v>
      </c>
      <c r="G43">
        <v>5</v>
      </c>
      <c r="H43" s="2">
        <v>0.83333333333333337</v>
      </c>
      <c r="I43">
        <v>1173.27</v>
      </c>
      <c r="J43">
        <v>3</v>
      </c>
      <c r="K43" s="2">
        <v>7.5300000000000006E-2</v>
      </c>
    </row>
    <row r="44" spans="1:11" x14ac:dyDescent="0.3">
      <c r="A44" t="s">
        <v>28</v>
      </c>
      <c r="B44" t="s">
        <v>36</v>
      </c>
      <c r="C44" s="1">
        <v>45323</v>
      </c>
      <c r="D44">
        <v>92</v>
      </c>
      <c r="E44">
        <v>7</v>
      </c>
      <c r="F44">
        <v>80.12</v>
      </c>
      <c r="G44">
        <v>6</v>
      </c>
      <c r="H44" s="2">
        <v>0.8571428571428571</v>
      </c>
      <c r="I44">
        <v>3794.02</v>
      </c>
      <c r="J44">
        <v>2</v>
      </c>
      <c r="K44" s="2">
        <v>9.5000000000000001E-2</v>
      </c>
    </row>
    <row r="45" spans="1:11" x14ac:dyDescent="0.3">
      <c r="A45" t="s">
        <v>29</v>
      </c>
      <c r="B45" t="s">
        <v>36</v>
      </c>
      <c r="C45" s="1">
        <v>45323</v>
      </c>
      <c r="D45">
        <v>21</v>
      </c>
      <c r="E45">
        <v>14</v>
      </c>
      <c r="F45">
        <v>563.79</v>
      </c>
      <c r="G45">
        <v>8</v>
      </c>
      <c r="H45" s="2">
        <v>0.5714285714285714</v>
      </c>
      <c r="I45">
        <v>3616.21</v>
      </c>
      <c r="J45">
        <v>1</v>
      </c>
      <c r="K45" s="2">
        <v>3.61E-2</v>
      </c>
    </row>
    <row r="46" spans="1:11" x14ac:dyDescent="0.3">
      <c r="A46" t="s">
        <v>30</v>
      </c>
      <c r="B46" t="s">
        <v>36</v>
      </c>
      <c r="C46" s="1">
        <v>45323</v>
      </c>
      <c r="D46">
        <v>83</v>
      </c>
      <c r="E46">
        <v>20</v>
      </c>
      <c r="F46">
        <v>193.39</v>
      </c>
      <c r="G46">
        <v>5</v>
      </c>
      <c r="H46" s="2">
        <v>0.25</v>
      </c>
      <c r="I46">
        <v>402.53</v>
      </c>
      <c r="J46">
        <v>3</v>
      </c>
      <c r="K46" s="2">
        <v>0.1013</v>
      </c>
    </row>
    <row r="47" spans="1:11" x14ac:dyDescent="0.3">
      <c r="A47" t="s">
        <v>31</v>
      </c>
      <c r="B47" t="s">
        <v>36</v>
      </c>
      <c r="C47" s="1">
        <v>45323</v>
      </c>
      <c r="D47">
        <v>57</v>
      </c>
      <c r="E47">
        <v>11</v>
      </c>
      <c r="F47">
        <v>454.77</v>
      </c>
      <c r="G47">
        <v>1</v>
      </c>
      <c r="H47" s="2">
        <v>9.0909090909090912E-2</v>
      </c>
      <c r="I47">
        <v>1152.4100000000001</v>
      </c>
      <c r="J47">
        <v>2</v>
      </c>
      <c r="K47" s="2">
        <v>1E-3</v>
      </c>
    </row>
    <row r="48" spans="1:11" x14ac:dyDescent="0.3">
      <c r="A48" t="s">
        <v>32</v>
      </c>
      <c r="B48" t="s">
        <v>36</v>
      </c>
      <c r="C48" s="1">
        <v>45323</v>
      </c>
      <c r="D48">
        <v>22</v>
      </c>
      <c r="E48">
        <v>17</v>
      </c>
      <c r="F48">
        <v>291.97000000000003</v>
      </c>
      <c r="G48">
        <v>1</v>
      </c>
      <c r="H48" s="2">
        <v>5.8823529411764705E-2</v>
      </c>
      <c r="I48">
        <v>1703.6</v>
      </c>
      <c r="J48">
        <v>1</v>
      </c>
      <c r="K48" s="2">
        <v>5.21E-2</v>
      </c>
    </row>
    <row r="49" spans="1:11" x14ac:dyDescent="0.3">
      <c r="A49" t="s">
        <v>33</v>
      </c>
      <c r="B49" t="s">
        <v>36</v>
      </c>
      <c r="C49" s="1">
        <v>45323</v>
      </c>
      <c r="D49">
        <v>78</v>
      </c>
      <c r="E49">
        <v>5</v>
      </c>
      <c r="F49">
        <v>553.86</v>
      </c>
      <c r="G49">
        <v>1</v>
      </c>
      <c r="H49" s="2">
        <v>0.2</v>
      </c>
      <c r="I49">
        <v>3503.57</v>
      </c>
      <c r="J49">
        <v>3</v>
      </c>
      <c r="K49" s="2">
        <v>3.1300000000000001E-2</v>
      </c>
    </row>
    <row r="50" spans="1:11" x14ac:dyDescent="0.3">
      <c r="A50" t="s">
        <v>34</v>
      </c>
      <c r="B50" t="s">
        <v>36</v>
      </c>
      <c r="C50" s="1">
        <v>45323</v>
      </c>
      <c r="D50">
        <v>68</v>
      </c>
      <c r="E50">
        <v>7</v>
      </c>
      <c r="F50">
        <v>171.76</v>
      </c>
      <c r="G50">
        <v>7</v>
      </c>
      <c r="H50" s="2">
        <v>1</v>
      </c>
      <c r="I50">
        <v>548.36</v>
      </c>
      <c r="J50">
        <v>2</v>
      </c>
      <c r="K50" s="2">
        <v>8.2500000000000004E-2</v>
      </c>
    </row>
    <row r="51" spans="1:11" x14ac:dyDescent="0.3">
      <c r="A51" t="s">
        <v>35</v>
      </c>
      <c r="B51" t="s">
        <v>36</v>
      </c>
      <c r="C51" s="1">
        <v>45323</v>
      </c>
      <c r="D51">
        <v>83</v>
      </c>
      <c r="E51">
        <v>16</v>
      </c>
      <c r="F51">
        <v>382.21</v>
      </c>
      <c r="G51">
        <v>1</v>
      </c>
      <c r="H51" s="2">
        <v>6.25E-2</v>
      </c>
      <c r="I51">
        <v>3017.43</v>
      </c>
      <c r="J51">
        <v>3</v>
      </c>
      <c r="K51" s="2">
        <v>2.4199999999999999E-2</v>
      </c>
    </row>
    <row r="52" spans="1:11" x14ac:dyDescent="0.3">
      <c r="A52" t="s">
        <v>37</v>
      </c>
      <c r="B52" t="s">
        <v>36</v>
      </c>
      <c r="C52" s="1">
        <v>45323</v>
      </c>
      <c r="D52">
        <v>31</v>
      </c>
      <c r="E52">
        <v>11</v>
      </c>
      <c r="F52">
        <v>562.73</v>
      </c>
      <c r="G52">
        <v>4</v>
      </c>
      <c r="H52" s="2">
        <v>0.36363636363636365</v>
      </c>
      <c r="I52">
        <v>221.94</v>
      </c>
      <c r="J52">
        <v>2</v>
      </c>
      <c r="K52" s="2">
        <v>6.7400000000000002E-2</v>
      </c>
    </row>
    <row r="53" spans="1:11" x14ac:dyDescent="0.3">
      <c r="A53" t="s">
        <v>38</v>
      </c>
      <c r="B53" t="s">
        <v>36</v>
      </c>
      <c r="C53" s="1">
        <v>45323</v>
      </c>
      <c r="D53">
        <v>34</v>
      </c>
      <c r="E53">
        <v>17</v>
      </c>
      <c r="F53">
        <v>380.37</v>
      </c>
      <c r="G53">
        <v>7</v>
      </c>
      <c r="H53" s="2">
        <v>0.41176470588235292</v>
      </c>
      <c r="I53">
        <v>4183.2700000000004</v>
      </c>
      <c r="J53">
        <v>1</v>
      </c>
      <c r="K53" s="2">
        <v>8.8699999999999987E-2</v>
      </c>
    </row>
    <row r="54" spans="1:11" x14ac:dyDescent="0.3">
      <c r="A54" t="s">
        <v>11</v>
      </c>
      <c r="B54" t="s">
        <v>36</v>
      </c>
      <c r="C54" s="1">
        <v>45352</v>
      </c>
      <c r="D54">
        <v>55</v>
      </c>
      <c r="E54">
        <v>17</v>
      </c>
      <c r="F54">
        <v>315.62</v>
      </c>
      <c r="G54">
        <v>5</v>
      </c>
      <c r="H54" s="2">
        <v>0.29411764705882354</v>
      </c>
      <c r="I54">
        <v>3890.73</v>
      </c>
      <c r="J54">
        <v>3</v>
      </c>
      <c r="K54" s="2">
        <v>2.8799999999999999E-2</v>
      </c>
    </row>
    <row r="55" spans="1:11" x14ac:dyDescent="0.3">
      <c r="A55" t="s">
        <v>13</v>
      </c>
      <c r="B55" t="s">
        <v>36</v>
      </c>
      <c r="C55" s="1">
        <v>45352</v>
      </c>
      <c r="D55">
        <v>91</v>
      </c>
      <c r="E55">
        <v>10</v>
      </c>
      <c r="F55">
        <v>361.58</v>
      </c>
      <c r="G55">
        <v>4</v>
      </c>
      <c r="H55" s="2">
        <v>0.4</v>
      </c>
      <c r="I55">
        <v>3674.37</v>
      </c>
      <c r="J55">
        <v>2</v>
      </c>
      <c r="K55" s="2">
        <v>4.0800000000000003E-2</v>
      </c>
    </row>
    <row r="56" spans="1:11" x14ac:dyDescent="0.3">
      <c r="A56" t="s">
        <v>14</v>
      </c>
      <c r="B56" t="s">
        <v>36</v>
      </c>
      <c r="C56" s="1">
        <v>45352</v>
      </c>
      <c r="D56">
        <v>59</v>
      </c>
      <c r="E56">
        <v>13</v>
      </c>
      <c r="F56">
        <v>402.9</v>
      </c>
      <c r="G56">
        <v>2</v>
      </c>
      <c r="H56" s="2">
        <v>0.15384615384615385</v>
      </c>
      <c r="I56">
        <v>3357.27</v>
      </c>
      <c r="J56">
        <v>1</v>
      </c>
      <c r="K56" s="2">
        <v>4.2599999999999999E-2</v>
      </c>
    </row>
    <row r="57" spans="1:11" x14ac:dyDescent="0.3">
      <c r="A57" t="s">
        <v>15</v>
      </c>
      <c r="B57" t="s">
        <v>36</v>
      </c>
      <c r="C57" s="1">
        <v>45352</v>
      </c>
      <c r="D57">
        <v>19</v>
      </c>
      <c r="E57">
        <v>6</v>
      </c>
      <c r="F57">
        <v>82.65</v>
      </c>
      <c r="G57">
        <v>3</v>
      </c>
      <c r="H57" s="2">
        <v>0.5</v>
      </c>
      <c r="I57">
        <v>1469.62</v>
      </c>
      <c r="J57">
        <v>3</v>
      </c>
      <c r="K57" s="2">
        <v>3.0699999999999998E-2</v>
      </c>
    </row>
    <row r="58" spans="1:11" x14ac:dyDescent="0.3">
      <c r="A58" t="s">
        <v>16</v>
      </c>
      <c r="B58" t="s">
        <v>36</v>
      </c>
      <c r="C58" s="1">
        <v>45352</v>
      </c>
      <c r="D58">
        <v>77</v>
      </c>
      <c r="E58">
        <v>14</v>
      </c>
      <c r="F58">
        <v>494.43</v>
      </c>
      <c r="G58">
        <v>4</v>
      </c>
      <c r="H58" s="2">
        <v>0.2857142857142857</v>
      </c>
      <c r="I58">
        <v>963.35</v>
      </c>
      <c r="J58">
        <v>2</v>
      </c>
      <c r="K58" s="2">
        <v>3.6699999999999997E-2</v>
      </c>
    </row>
    <row r="59" spans="1:11" x14ac:dyDescent="0.3">
      <c r="A59" t="s">
        <v>17</v>
      </c>
      <c r="B59" t="s">
        <v>36</v>
      </c>
      <c r="C59" s="1">
        <v>45352</v>
      </c>
      <c r="D59">
        <v>50</v>
      </c>
      <c r="E59">
        <v>8</v>
      </c>
      <c r="F59">
        <v>512.92999999999995</v>
      </c>
      <c r="G59">
        <v>3</v>
      </c>
      <c r="H59" s="2">
        <v>0.375</v>
      </c>
      <c r="I59">
        <v>3725.66</v>
      </c>
      <c r="J59">
        <v>1</v>
      </c>
      <c r="K59" s="2">
        <v>1.1599999999999999E-2</v>
      </c>
    </row>
    <row r="60" spans="1:11" x14ac:dyDescent="0.3">
      <c r="A60" t="s">
        <v>18</v>
      </c>
      <c r="B60" t="s">
        <v>36</v>
      </c>
      <c r="C60" s="1">
        <v>45352</v>
      </c>
      <c r="D60">
        <v>88</v>
      </c>
      <c r="E60">
        <v>18</v>
      </c>
      <c r="F60">
        <v>291.04000000000002</v>
      </c>
      <c r="G60">
        <v>2</v>
      </c>
      <c r="H60" s="2">
        <v>0.1111111111111111</v>
      </c>
      <c r="I60">
        <v>2619.84</v>
      </c>
      <c r="J60">
        <v>3</v>
      </c>
      <c r="K60" s="2">
        <v>0.10550000000000001</v>
      </c>
    </row>
    <row r="61" spans="1:11" x14ac:dyDescent="0.3">
      <c r="A61" t="s">
        <v>19</v>
      </c>
      <c r="B61" t="s">
        <v>36</v>
      </c>
      <c r="C61" s="1">
        <v>45352</v>
      </c>
      <c r="D61">
        <v>62</v>
      </c>
      <c r="E61">
        <v>9</v>
      </c>
      <c r="F61">
        <v>252.77</v>
      </c>
      <c r="G61">
        <v>7</v>
      </c>
      <c r="H61" s="2">
        <v>0.77777777777777779</v>
      </c>
      <c r="I61">
        <v>4641.6099999999997</v>
      </c>
      <c r="J61">
        <v>2</v>
      </c>
      <c r="K61" s="2">
        <v>4.0800000000000003E-2</v>
      </c>
    </row>
    <row r="62" spans="1:11" x14ac:dyDescent="0.3">
      <c r="A62" t="s">
        <v>20</v>
      </c>
      <c r="B62" t="s">
        <v>36</v>
      </c>
      <c r="C62" s="1">
        <v>45352</v>
      </c>
      <c r="D62">
        <v>33</v>
      </c>
      <c r="E62">
        <v>18</v>
      </c>
      <c r="F62">
        <v>348.57</v>
      </c>
      <c r="G62">
        <v>8</v>
      </c>
      <c r="H62" s="2">
        <v>0.44444444444444442</v>
      </c>
      <c r="I62">
        <v>1169.6400000000001</v>
      </c>
      <c r="J62">
        <v>1</v>
      </c>
      <c r="K62" s="2">
        <v>5.4800000000000001E-2</v>
      </c>
    </row>
    <row r="63" spans="1:11" x14ac:dyDescent="0.3">
      <c r="A63" t="s">
        <v>21</v>
      </c>
      <c r="B63" t="s">
        <v>36</v>
      </c>
      <c r="C63" s="1">
        <v>45352</v>
      </c>
      <c r="D63">
        <v>54</v>
      </c>
      <c r="E63">
        <v>15</v>
      </c>
      <c r="F63">
        <v>321.99</v>
      </c>
      <c r="G63">
        <v>8</v>
      </c>
      <c r="H63" s="2">
        <v>0.53333333333333333</v>
      </c>
      <c r="I63">
        <v>1080.0899999999999</v>
      </c>
      <c r="J63">
        <v>1</v>
      </c>
      <c r="K63" s="2">
        <v>3.5499999999999997E-2</v>
      </c>
    </row>
    <row r="64" spans="1:11" x14ac:dyDescent="0.3">
      <c r="A64" t="s">
        <v>22</v>
      </c>
      <c r="B64" t="s">
        <v>36</v>
      </c>
      <c r="C64" s="1">
        <v>45352</v>
      </c>
      <c r="D64">
        <v>16</v>
      </c>
      <c r="E64">
        <v>9</v>
      </c>
      <c r="F64">
        <v>199.87</v>
      </c>
      <c r="G64">
        <v>9</v>
      </c>
      <c r="H64" s="2">
        <v>1</v>
      </c>
      <c r="I64">
        <v>818.64</v>
      </c>
      <c r="J64">
        <v>3</v>
      </c>
      <c r="K64" s="2">
        <v>7.46E-2</v>
      </c>
    </row>
    <row r="65" spans="1:11" x14ac:dyDescent="0.3">
      <c r="A65" t="s">
        <v>23</v>
      </c>
      <c r="B65" t="s">
        <v>36</v>
      </c>
      <c r="C65" s="1">
        <v>45352</v>
      </c>
      <c r="D65">
        <v>30</v>
      </c>
      <c r="E65">
        <v>5</v>
      </c>
      <c r="F65">
        <v>565.19000000000005</v>
      </c>
      <c r="G65">
        <v>4</v>
      </c>
      <c r="H65" s="2">
        <v>0.8</v>
      </c>
      <c r="I65">
        <v>3621.51</v>
      </c>
      <c r="J65">
        <v>2</v>
      </c>
      <c r="K65" s="2">
        <v>4.3099999999999999E-2</v>
      </c>
    </row>
    <row r="66" spans="1:11" x14ac:dyDescent="0.3">
      <c r="A66" t="s">
        <v>24</v>
      </c>
      <c r="B66" t="s">
        <v>36</v>
      </c>
      <c r="C66" s="1">
        <v>45352</v>
      </c>
      <c r="D66">
        <v>68</v>
      </c>
      <c r="E66">
        <v>19</v>
      </c>
      <c r="F66">
        <v>623.25</v>
      </c>
      <c r="G66">
        <v>3</v>
      </c>
      <c r="H66" s="2">
        <v>0.15789473684210525</v>
      </c>
      <c r="I66">
        <v>355.96</v>
      </c>
      <c r="J66">
        <v>1</v>
      </c>
      <c r="K66" s="2">
        <v>3.6299999999999999E-2</v>
      </c>
    </row>
    <row r="67" spans="1:11" x14ac:dyDescent="0.3">
      <c r="A67" t="s">
        <v>25</v>
      </c>
      <c r="B67" t="s">
        <v>36</v>
      </c>
      <c r="C67" s="1">
        <v>45352</v>
      </c>
      <c r="D67">
        <v>31</v>
      </c>
      <c r="E67">
        <v>9</v>
      </c>
      <c r="F67">
        <v>209.18</v>
      </c>
      <c r="G67">
        <v>2</v>
      </c>
      <c r="H67" s="2">
        <v>0.22222222222222221</v>
      </c>
      <c r="I67">
        <v>4153.3100000000004</v>
      </c>
      <c r="J67">
        <v>3</v>
      </c>
      <c r="K67" s="2">
        <v>4.0399999999999998E-2</v>
      </c>
    </row>
    <row r="68" spans="1:11" x14ac:dyDescent="0.3">
      <c r="A68" t="s">
        <v>26</v>
      </c>
      <c r="B68" t="s">
        <v>36</v>
      </c>
      <c r="C68" s="1">
        <v>45352</v>
      </c>
      <c r="D68">
        <v>61</v>
      </c>
      <c r="E68">
        <v>7</v>
      </c>
      <c r="F68">
        <v>190.5</v>
      </c>
      <c r="G68">
        <v>3</v>
      </c>
      <c r="H68" s="2">
        <v>0.42857142857142855</v>
      </c>
      <c r="I68">
        <v>661.2</v>
      </c>
      <c r="J68">
        <v>2</v>
      </c>
      <c r="K68" s="2">
        <v>2.7699999999999999E-2</v>
      </c>
    </row>
    <row r="69" spans="1:11" x14ac:dyDescent="0.3">
      <c r="A69" t="s">
        <v>27</v>
      </c>
      <c r="B69" t="s">
        <v>36</v>
      </c>
      <c r="C69" s="1">
        <v>45352</v>
      </c>
      <c r="D69">
        <v>83</v>
      </c>
      <c r="E69">
        <v>5</v>
      </c>
      <c r="F69">
        <v>170.12</v>
      </c>
      <c r="G69">
        <v>3</v>
      </c>
      <c r="H69" s="2">
        <v>0.6</v>
      </c>
      <c r="I69">
        <v>1171.95</v>
      </c>
      <c r="J69">
        <v>1</v>
      </c>
      <c r="K69" s="2">
        <v>7.690000000000001E-2</v>
      </c>
    </row>
    <row r="70" spans="1:11" x14ac:dyDescent="0.3">
      <c r="A70" t="s">
        <v>28</v>
      </c>
      <c r="B70" t="s">
        <v>36</v>
      </c>
      <c r="C70" s="1">
        <v>45352</v>
      </c>
      <c r="D70">
        <v>74</v>
      </c>
      <c r="E70">
        <v>7</v>
      </c>
      <c r="F70">
        <v>87.89</v>
      </c>
      <c r="G70">
        <v>7</v>
      </c>
      <c r="H70" s="2">
        <v>1</v>
      </c>
      <c r="I70">
        <v>3848.14</v>
      </c>
      <c r="J70">
        <v>3</v>
      </c>
      <c r="K70" s="2">
        <v>8.6699999999999999E-2</v>
      </c>
    </row>
    <row r="71" spans="1:11" x14ac:dyDescent="0.3">
      <c r="A71" t="s">
        <v>29</v>
      </c>
      <c r="B71" t="s">
        <v>36</v>
      </c>
      <c r="C71" s="1">
        <v>45352</v>
      </c>
      <c r="D71">
        <v>21</v>
      </c>
      <c r="E71">
        <v>14</v>
      </c>
      <c r="F71">
        <v>498.82</v>
      </c>
      <c r="G71">
        <v>5</v>
      </c>
      <c r="H71" s="2">
        <v>0.35714285714285715</v>
      </c>
      <c r="I71">
        <v>4039.26</v>
      </c>
      <c r="J71">
        <v>2</v>
      </c>
      <c r="K71" s="2">
        <v>3.4000000000000002E-2</v>
      </c>
    </row>
    <row r="72" spans="1:11" x14ac:dyDescent="0.3">
      <c r="A72" t="s">
        <v>30</v>
      </c>
      <c r="B72" t="s">
        <v>39</v>
      </c>
      <c r="C72" s="1">
        <v>45352</v>
      </c>
      <c r="D72">
        <v>84</v>
      </c>
      <c r="E72">
        <v>15</v>
      </c>
      <c r="F72">
        <v>163.21</v>
      </c>
      <c r="G72">
        <v>5</v>
      </c>
      <c r="H72" s="2">
        <v>0.33333333333333331</v>
      </c>
      <c r="I72">
        <v>411.36</v>
      </c>
      <c r="J72">
        <v>1</v>
      </c>
      <c r="K72" s="2">
        <v>0.1014</v>
      </c>
    </row>
    <row r="73" spans="1:11" x14ac:dyDescent="0.3">
      <c r="A73" t="s">
        <v>31</v>
      </c>
      <c r="B73" t="s">
        <v>39</v>
      </c>
      <c r="C73" s="1">
        <v>45352</v>
      </c>
      <c r="D73">
        <v>64</v>
      </c>
      <c r="E73">
        <v>13</v>
      </c>
      <c r="F73">
        <v>496.4</v>
      </c>
      <c r="G73">
        <v>0</v>
      </c>
      <c r="H73" s="2">
        <v>0</v>
      </c>
      <c r="I73">
        <v>1306.3800000000001</v>
      </c>
      <c r="J73">
        <v>3</v>
      </c>
      <c r="K73" s="2">
        <v>1.1000000000000001E-3</v>
      </c>
    </row>
    <row r="74" spans="1:11" x14ac:dyDescent="0.3">
      <c r="A74" t="s">
        <v>32</v>
      </c>
      <c r="B74" t="s">
        <v>39</v>
      </c>
      <c r="C74" s="1">
        <v>45352</v>
      </c>
      <c r="D74">
        <v>21</v>
      </c>
      <c r="E74">
        <v>13</v>
      </c>
      <c r="F74">
        <v>315.41000000000003</v>
      </c>
      <c r="G74">
        <v>1</v>
      </c>
      <c r="H74" s="2">
        <v>7.6923076923076927E-2</v>
      </c>
      <c r="I74">
        <v>1692.59</v>
      </c>
      <c r="J74">
        <v>2</v>
      </c>
      <c r="K74" s="2">
        <v>5.0999999999999997E-2</v>
      </c>
    </row>
    <row r="75" spans="1:11" x14ac:dyDescent="0.3">
      <c r="A75" t="s">
        <v>33</v>
      </c>
      <c r="B75" t="s">
        <v>39</v>
      </c>
      <c r="C75" s="1">
        <v>45352</v>
      </c>
      <c r="D75">
        <v>110</v>
      </c>
      <c r="E75">
        <v>6</v>
      </c>
      <c r="F75">
        <v>535.37</v>
      </c>
      <c r="G75">
        <v>2</v>
      </c>
      <c r="H75" s="2">
        <v>0.33333333333333331</v>
      </c>
      <c r="I75">
        <v>3113.29</v>
      </c>
      <c r="J75">
        <v>1</v>
      </c>
      <c r="K75" s="2">
        <v>3.2099999999999997E-2</v>
      </c>
    </row>
    <row r="76" spans="1:11" x14ac:dyDescent="0.3">
      <c r="A76" t="s">
        <v>34</v>
      </c>
      <c r="B76" t="s">
        <v>39</v>
      </c>
      <c r="C76" s="1">
        <v>45352</v>
      </c>
      <c r="D76">
        <v>62</v>
      </c>
      <c r="E76">
        <v>8</v>
      </c>
      <c r="F76">
        <v>198.84</v>
      </c>
      <c r="G76">
        <v>8</v>
      </c>
      <c r="H76" s="2">
        <v>1</v>
      </c>
      <c r="I76">
        <v>534.58000000000004</v>
      </c>
      <c r="J76">
        <v>3</v>
      </c>
      <c r="K76" s="2">
        <v>8.8000000000000009E-2</v>
      </c>
    </row>
    <row r="77" spans="1:11" x14ac:dyDescent="0.3">
      <c r="A77" t="s">
        <v>35</v>
      </c>
      <c r="B77" t="s">
        <v>39</v>
      </c>
      <c r="C77" s="1">
        <v>45352</v>
      </c>
      <c r="D77">
        <v>108</v>
      </c>
      <c r="E77">
        <v>14</v>
      </c>
      <c r="F77">
        <v>416.78</v>
      </c>
      <c r="G77">
        <v>1</v>
      </c>
      <c r="H77" s="2">
        <v>7.1428571428571425E-2</v>
      </c>
      <c r="I77">
        <v>2989.69</v>
      </c>
      <c r="J77">
        <v>2</v>
      </c>
      <c r="K77" s="2">
        <v>2.5499999999999998E-2</v>
      </c>
    </row>
    <row r="78" spans="1:11" x14ac:dyDescent="0.3">
      <c r="A78" t="s">
        <v>37</v>
      </c>
      <c r="B78" t="s">
        <v>39</v>
      </c>
      <c r="C78" s="1">
        <v>45352</v>
      </c>
      <c r="D78">
        <v>28</v>
      </c>
      <c r="E78">
        <v>12</v>
      </c>
      <c r="F78">
        <v>533.85</v>
      </c>
      <c r="G78">
        <v>5</v>
      </c>
      <c r="H78" s="2">
        <v>0.41666666666666669</v>
      </c>
      <c r="I78">
        <v>224.87</v>
      </c>
      <c r="J78">
        <v>1</v>
      </c>
      <c r="K78" s="2">
        <v>6.480000000000001E-2</v>
      </c>
    </row>
    <row r="79" spans="1:11" x14ac:dyDescent="0.3">
      <c r="A79" t="s">
        <v>38</v>
      </c>
      <c r="B79" t="s">
        <v>39</v>
      </c>
      <c r="C79" s="1">
        <v>45352</v>
      </c>
      <c r="D79">
        <v>39</v>
      </c>
      <c r="E79">
        <v>16</v>
      </c>
      <c r="F79">
        <v>312.8</v>
      </c>
      <c r="G79">
        <v>8</v>
      </c>
      <c r="H79" s="2">
        <v>0.5</v>
      </c>
      <c r="I79">
        <v>4592.09</v>
      </c>
      <c r="J79">
        <v>3</v>
      </c>
      <c r="K79" s="2">
        <v>8.5500000000000007E-2</v>
      </c>
    </row>
    <row r="80" spans="1:11" x14ac:dyDescent="0.3">
      <c r="A80" t="s">
        <v>11</v>
      </c>
      <c r="B80" t="s">
        <v>39</v>
      </c>
      <c r="C80" s="1">
        <v>45383</v>
      </c>
      <c r="D80">
        <v>69</v>
      </c>
      <c r="E80">
        <v>17</v>
      </c>
      <c r="F80">
        <v>342.81</v>
      </c>
      <c r="G80">
        <v>6</v>
      </c>
      <c r="H80" s="2">
        <v>0.35294117647058826</v>
      </c>
      <c r="I80">
        <v>3728.2</v>
      </c>
      <c r="J80">
        <v>2</v>
      </c>
      <c r="K80" s="2">
        <v>2.9600000000000001E-2</v>
      </c>
    </row>
    <row r="81" spans="1:11" x14ac:dyDescent="0.3">
      <c r="A81" t="s">
        <v>13</v>
      </c>
      <c r="B81" t="s">
        <v>39</v>
      </c>
      <c r="C81" s="1">
        <v>45383</v>
      </c>
      <c r="D81">
        <v>83</v>
      </c>
      <c r="E81">
        <v>11</v>
      </c>
      <c r="F81">
        <v>365.12</v>
      </c>
      <c r="G81">
        <v>5</v>
      </c>
      <c r="H81" s="2">
        <v>0.45454545454545453</v>
      </c>
      <c r="I81">
        <v>3682.69</v>
      </c>
      <c r="J81">
        <v>1</v>
      </c>
      <c r="K81" s="2">
        <v>3.8199999999999998E-2</v>
      </c>
    </row>
    <row r="82" spans="1:11" x14ac:dyDescent="0.3">
      <c r="A82" t="s">
        <v>14</v>
      </c>
      <c r="B82" t="s">
        <v>39</v>
      </c>
      <c r="C82" s="1">
        <v>45383</v>
      </c>
      <c r="D82">
        <v>41</v>
      </c>
      <c r="E82">
        <v>14</v>
      </c>
      <c r="F82">
        <v>416.88</v>
      </c>
      <c r="G82">
        <v>2</v>
      </c>
      <c r="H82" s="2">
        <v>0.14285714285714285</v>
      </c>
      <c r="I82">
        <v>3638.83</v>
      </c>
      <c r="J82">
        <v>3</v>
      </c>
      <c r="K82" s="2">
        <v>4.41E-2</v>
      </c>
    </row>
    <row r="83" spans="1:11" x14ac:dyDescent="0.3">
      <c r="A83" t="s">
        <v>15</v>
      </c>
      <c r="B83" t="s">
        <v>39</v>
      </c>
      <c r="C83" s="1">
        <v>45383</v>
      </c>
      <c r="D83">
        <v>17</v>
      </c>
      <c r="E83">
        <v>7</v>
      </c>
      <c r="F83">
        <v>81.14</v>
      </c>
      <c r="G83">
        <v>3</v>
      </c>
      <c r="H83" s="2">
        <v>0.42857142857142855</v>
      </c>
      <c r="I83">
        <v>1419.04</v>
      </c>
      <c r="J83">
        <v>2</v>
      </c>
      <c r="K83" s="2">
        <v>2.9399999999999999E-2</v>
      </c>
    </row>
    <row r="84" spans="1:11" x14ac:dyDescent="0.3">
      <c r="A84" t="s">
        <v>16</v>
      </c>
      <c r="B84" t="s">
        <v>39</v>
      </c>
      <c r="C84" s="1">
        <v>45383</v>
      </c>
      <c r="D84">
        <v>76</v>
      </c>
      <c r="E84">
        <v>16</v>
      </c>
      <c r="F84">
        <v>449.04</v>
      </c>
      <c r="G84">
        <v>4</v>
      </c>
      <c r="H84" s="2">
        <v>0.25</v>
      </c>
      <c r="I84">
        <v>1019.97</v>
      </c>
      <c r="J84">
        <v>1</v>
      </c>
      <c r="K84" s="2">
        <v>3.8100000000000002E-2</v>
      </c>
    </row>
    <row r="85" spans="1:11" x14ac:dyDescent="0.3">
      <c r="A85" t="s">
        <v>17</v>
      </c>
      <c r="B85" t="s">
        <v>39</v>
      </c>
      <c r="C85" s="1">
        <v>45383</v>
      </c>
      <c r="D85">
        <v>72</v>
      </c>
      <c r="E85">
        <v>6</v>
      </c>
      <c r="F85">
        <v>508.55</v>
      </c>
      <c r="G85">
        <v>3</v>
      </c>
      <c r="H85" s="2">
        <v>0.5</v>
      </c>
      <c r="I85">
        <v>3633.75</v>
      </c>
      <c r="J85">
        <v>3</v>
      </c>
      <c r="K85" s="2">
        <v>1.1399999999999999E-2</v>
      </c>
    </row>
    <row r="86" spans="1:11" x14ac:dyDescent="0.3">
      <c r="A86" t="s">
        <v>18</v>
      </c>
      <c r="B86" t="s">
        <v>39</v>
      </c>
      <c r="C86" s="1">
        <v>45383</v>
      </c>
      <c r="D86">
        <v>72</v>
      </c>
      <c r="E86">
        <v>18</v>
      </c>
      <c r="F86">
        <v>299.08999999999997</v>
      </c>
      <c r="G86">
        <v>2</v>
      </c>
      <c r="H86" s="2">
        <v>0.1111111111111111</v>
      </c>
      <c r="I86">
        <v>2378.29</v>
      </c>
      <c r="J86">
        <v>2</v>
      </c>
      <c r="K86" s="2">
        <v>0.1052</v>
      </c>
    </row>
    <row r="87" spans="1:11" x14ac:dyDescent="0.3">
      <c r="A87" t="s">
        <v>19</v>
      </c>
      <c r="B87" t="s">
        <v>39</v>
      </c>
      <c r="C87" s="1">
        <v>45383</v>
      </c>
      <c r="D87">
        <v>44</v>
      </c>
      <c r="E87">
        <v>6</v>
      </c>
      <c r="F87">
        <v>246.21</v>
      </c>
      <c r="G87">
        <v>5</v>
      </c>
      <c r="H87" s="2">
        <v>0.83333333333333337</v>
      </c>
      <c r="I87">
        <v>4155.8</v>
      </c>
      <c r="J87">
        <v>1</v>
      </c>
      <c r="K87" s="2">
        <v>4.3299999999999998E-2</v>
      </c>
    </row>
    <row r="88" spans="1:11" x14ac:dyDescent="0.3">
      <c r="A88" t="s">
        <v>20</v>
      </c>
      <c r="B88" t="s">
        <v>39</v>
      </c>
      <c r="C88" s="1">
        <v>45383</v>
      </c>
      <c r="D88">
        <v>29</v>
      </c>
      <c r="E88">
        <v>16</v>
      </c>
      <c r="F88">
        <v>412.07</v>
      </c>
      <c r="G88">
        <v>10</v>
      </c>
      <c r="H88" s="2">
        <v>0.625</v>
      </c>
      <c r="I88">
        <v>1075.94</v>
      </c>
      <c r="J88">
        <v>1</v>
      </c>
      <c r="K88" s="2">
        <v>6.2400000000000004E-2</v>
      </c>
    </row>
    <row r="89" spans="1:11" x14ac:dyDescent="0.3">
      <c r="A89" t="s">
        <v>21</v>
      </c>
      <c r="B89" t="s">
        <v>39</v>
      </c>
      <c r="C89" s="1">
        <v>45383</v>
      </c>
      <c r="D89">
        <v>64</v>
      </c>
      <c r="E89">
        <v>13</v>
      </c>
      <c r="F89">
        <v>317.58</v>
      </c>
      <c r="G89">
        <v>8</v>
      </c>
      <c r="H89" s="2">
        <v>0.61538461538461542</v>
      </c>
      <c r="I89">
        <v>1088.22</v>
      </c>
      <c r="J89">
        <v>3</v>
      </c>
      <c r="K89" s="2">
        <v>3.49E-2</v>
      </c>
    </row>
    <row r="90" spans="1:11" x14ac:dyDescent="0.3">
      <c r="A90" t="s">
        <v>22</v>
      </c>
      <c r="B90" t="s">
        <v>39</v>
      </c>
      <c r="C90" s="1">
        <v>45383</v>
      </c>
      <c r="D90">
        <v>16</v>
      </c>
      <c r="E90">
        <v>7</v>
      </c>
      <c r="F90">
        <v>181.58</v>
      </c>
      <c r="G90">
        <v>6</v>
      </c>
      <c r="H90" s="2">
        <v>0.8571428571428571</v>
      </c>
      <c r="I90">
        <v>868.4</v>
      </c>
      <c r="J90">
        <v>2</v>
      </c>
      <c r="K90" s="2">
        <v>8.4100000000000008E-2</v>
      </c>
    </row>
    <row r="91" spans="1:11" x14ac:dyDescent="0.3">
      <c r="A91" t="s">
        <v>23</v>
      </c>
      <c r="B91" t="s">
        <v>39</v>
      </c>
      <c r="C91" s="1">
        <v>45383</v>
      </c>
      <c r="D91">
        <v>37</v>
      </c>
      <c r="E91">
        <v>7</v>
      </c>
      <c r="F91">
        <v>470.85</v>
      </c>
      <c r="G91">
        <v>7</v>
      </c>
      <c r="H91" s="2">
        <v>1</v>
      </c>
      <c r="I91">
        <v>3483.6</v>
      </c>
      <c r="J91">
        <v>1</v>
      </c>
      <c r="K91" s="2">
        <v>4.2599999999999999E-2</v>
      </c>
    </row>
    <row r="92" spans="1:11" x14ac:dyDescent="0.3">
      <c r="A92" t="s">
        <v>24</v>
      </c>
      <c r="B92" t="s">
        <v>39</v>
      </c>
      <c r="C92" s="1">
        <v>45383</v>
      </c>
      <c r="D92">
        <v>81</v>
      </c>
      <c r="E92">
        <v>16</v>
      </c>
      <c r="F92">
        <v>584.29999999999995</v>
      </c>
      <c r="G92">
        <v>3</v>
      </c>
      <c r="H92" s="2">
        <v>0.1875</v>
      </c>
      <c r="I92">
        <v>377.45</v>
      </c>
      <c r="J92">
        <v>3</v>
      </c>
      <c r="K92" s="2">
        <v>3.32E-2</v>
      </c>
    </row>
    <row r="93" spans="1:11" x14ac:dyDescent="0.3">
      <c r="A93" t="s">
        <v>25</v>
      </c>
      <c r="B93" t="s">
        <v>39</v>
      </c>
      <c r="C93" s="1">
        <v>45383</v>
      </c>
      <c r="D93">
        <v>26</v>
      </c>
      <c r="E93">
        <v>6</v>
      </c>
      <c r="F93">
        <v>231.59</v>
      </c>
      <c r="G93">
        <v>2</v>
      </c>
      <c r="H93" s="2">
        <v>0.33333333333333331</v>
      </c>
      <c r="I93">
        <v>3988.15</v>
      </c>
      <c r="J93">
        <v>2</v>
      </c>
      <c r="K93" s="2">
        <v>3.8399999999999997E-2</v>
      </c>
    </row>
    <row r="94" spans="1:11" x14ac:dyDescent="0.3">
      <c r="A94" t="s">
        <v>26</v>
      </c>
      <c r="B94" t="s">
        <v>40</v>
      </c>
      <c r="C94" s="1">
        <v>45383</v>
      </c>
      <c r="D94">
        <v>69</v>
      </c>
      <c r="E94">
        <v>9</v>
      </c>
      <c r="F94">
        <v>221.01</v>
      </c>
      <c r="G94">
        <v>3</v>
      </c>
      <c r="H94" s="2">
        <v>0.33333333333333331</v>
      </c>
      <c r="I94">
        <v>643.44000000000005</v>
      </c>
      <c r="J94">
        <v>1</v>
      </c>
      <c r="K94" s="2">
        <v>3.2000000000000001E-2</v>
      </c>
    </row>
    <row r="95" spans="1:11" x14ac:dyDescent="0.3">
      <c r="A95" t="s">
        <v>27</v>
      </c>
      <c r="B95" t="s">
        <v>40</v>
      </c>
      <c r="C95" s="1">
        <v>45383</v>
      </c>
      <c r="D95">
        <v>103</v>
      </c>
      <c r="E95">
        <v>6</v>
      </c>
      <c r="F95">
        <v>165.74</v>
      </c>
      <c r="G95">
        <v>6</v>
      </c>
      <c r="H95" s="2">
        <v>1</v>
      </c>
      <c r="I95">
        <v>1169.3800000000001</v>
      </c>
      <c r="J95">
        <v>3</v>
      </c>
      <c r="K95" s="2">
        <v>7.7699999999999991E-2</v>
      </c>
    </row>
    <row r="96" spans="1:11" x14ac:dyDescent="0.3">
      <c r="A96" t="s">
        <v>28</v>
      </c>
      <c r="B96" t="s">
        <v>40</v>
      </c>
      <c r="C96" s="1">
        <v>45383</v>
      </c>
      <c r="D96">
        <v>100</v>
      </c>
      <c r="E96">
        <v>7</v>
      </c>
      <c r="F96">
        <v>82.62</v>
      </c>
      <c r="G96">
        <v>6</v>
      </c>
      <c r="H96" s="2">
        <v>0.8571428571428571</v>
      </c>
      <c r="I96">
        <v>4085.91</v>
      </c>
      <c r="J96">
        <v>2</v>
      </c>
      <c r="K96" s="2">
        <v>9.0500000000000011E-2</v>
      </c>
    </row>
    <row r="97" spans="1:11" x14ac:dyDescent="0.3">
      <c r="A97" t="s">
        <v>29</v>
      </c>
      <c r="B97" t="s">
        <v>40</v>
      </c>
      <c r="C97" s="1">
        <v>45383</v>
      </c>
      <c r="D97">
        <v>26</v>
      </c>
      <c r="E97">
        <v>17</v>
      </c>
      <c r="F97">
        <v>526.34</v>
      </c>
      <c r="G97">
        <v>6</v>
      </c>
      <c r="H97" s="2">
        <v>0.35294117647058826</v>
      </c>
      <c r="I97">
        <v>3360.11</v>
      </c>
      <c r="J97">
        <v>1</v>
      </c>
      <c r="K97" s="2">
        <v>3.0600000000000002E-2</v>
      </c>
    </row>
    <row r="98" spans="1:11" x14ac:dyDescent="0.3">
      <c r="A98" t="s">
        <v>30</v>
      </c>
      <c r="B98" t="s">
        <v>40</v>
      </c>
      <c r="C98" s="1">
        <v>45383</v>
      </c>
      <c r="D98">
        <v>104</v>
      </c>
      <c r="E98">
        <v>22</v>
      </c>
      <c r="F98">
        <v>190.87</v>
      </c>
      <c r="G98">
        <v>4</v>
      </c>
      <c r="H98" s="2">
        <v>0.18181818181818182</v>
      </c>
      <c r="I98">
        <v>433.41</v>
      </c>
      <c r="J98">
        <v>3</v>
      </c>
      <c r="K98" s="2">
        <v>9.3599999999999989E-2</v>
      </c>
    </row>
    <row r="99" spans="1:11" x14ac:dyDescent="0.3">
      <c r="A99" t="s">
        <v>31</v>
      </c>
      <c r="B99" t="s">
        <v>40</v>
      </c>
      <c r="C99" s="1">
        <v>45383</v>
      </c>
      <c r="D99">
        <v>63</v>
      </c>
      <c r="E99">
        <v>11</v>
      </c>
      <c r="F99">
        <v>554.51</v>
      </c>
      <c r="G99">
        <v>1</v>
      </c>
      <c r="H99" s="2">
        <v>9.0909090909090912E-2</v>
      </c>
      <c r="I99">
        <v>1138.51</v>
      </c>
      <c r="J99">
        <v>2</v>
      </c>
      <c r="K99" s="2">
        <v>1E-3</v>
      </c>
    </row>
    <row r="100" spans="1:11" x14ac:dyDescent="0.3">
      <c r="A100" t="s">
        <v>32</v>
      </c>
      <c r="B100" t="s">
        <v>40</v>
      </c>
      <c r="C100" s="1">
        <v>45383</v>
      </c>
      <c r="D100">
        <v>22</v>
      </c>
      <c r="E100">
        <v>13</v>
      </c>
      <c r="F100">
        <v>302.49</v>
      </c>
      <c r="G100">
        <v>2</v>
      </c>
      <c r="H100" s="2">
        <v>0.15384615384615385</v>
      </c>
      <c r="I100">
        <v>1591.45</v>
      </c>
      <c r="J100">
        <v>3</v>
      </c>
      <c r="K100" s="2">
        <v>4.9599999999999998E-2</v>
      </c>
    </row>
    <row r="101" spans="1:11" x14ac:dyDescent="0.3">
      <c r="A101" t="s">
        <v>33</v>
      </c>
      <c r="B101" t="s">
        <v>40</v>
      </c>
      <c r="C101" s="1">
        <v>45383</v>
      </c>
      <c r="D101">
        <v>91</v>
      </c>
      <c r="E101">
        <v>5</v>
      </c>
      <c r="F101">
        <v>605.11</v>
      </c>
      <c r="G101">
        <v>2</v>
      </c>
      <c r="H101" s="2">
        <v>0.4</v>
      </c>
      <c r="I101">
        <v>3499.88</v>
      </c>
      <c r="J101">
        <v>2</v>
      </c>
      <c r="K101" s="2">
        <v>3.0200000000000001E-2</v>
      </c>
    </row>
    <row r="102" spans="1:11" x14ac:dyDescent="0.3">
      <c r="A102" t="s">
        <v>34</v>
      </c>
      <c r="B102" t="s">
        <v>40</v>
      </c>
      <c r="C102" s="1">
        <v>45383</v>
      </c>
      <c r="D102">
        <v>77</v>
      </c>
      <c r="E102">
        <v>8</v>
      </c>
      <c r="F102">
        <v>173.88</v>
      </c>
      <c r="G102">
        <v>6</v>
      </c>
      <c r="H102" s="2">
        <v>0.75</v>
      </c>
      <c r="I102">
        <v>462.44</v>
      </c>
      <c r="J102">
        <v>1</v>
      </c>
      <c r="K102" s="2">
        <v>7.9899999999999999E-2</v>
      </c>
    </row>
    <row r="103" spans="1:11" x14ac:dyDescent="0.3">
      <c r="A103" t="s">
        <v>35</v>
      </c>
      <c r="B103" t="s">
        <v>40</v>
      </c>
      <c r="C103" s="1">
        <v>45383</v>
      </c>
      <c r="D103">
        <v>90</v>
      </c>
      <c r="E103">
        <v>17</v>
      </c>
      <c r="F103">
        <v>366.84</v>
      </c>
      <c r="G103">
        <v>0</v>
      </c>
      <c r="H103" s="2">
        <v>0</v>
      </c>
      <c r="I103">
        <v>3153.56</v>
      </c>
      <c r="J103">
        <v>3</v>
      </c>
      <c r="K103" s="2">
        <v>2.4500000000000001E-2</v>
      </c>
    </row>
    <row r="104" spans="1:11" x14ac:dyDescent="0.3">
      <c r="A104" t="s">
        <v>37</v>
      </c>
      <c r="B104" t="s">
        <v>40</v>
      </c>
      <c r="C104" s="1">
        <v>45383</v>
      </c>
      <c r="D104">
        <v>33</v>
      </c>
      <c r="E104">
        <v>9</v>
      </c>
      <c r="F104">
        <v>578.41999999999996</v>
      </c>
      <c r="G104">
        <v>4</v>
      </c>
      <c r="H104" s="2">
        <v>0.44444444444444442</v>
      </c>
      <c r="I104">
        <v>229.72</v>
      </c>
      <c r="J104">
        <v>2</v>
      </c>
      <c r="K104" s="2">
        <v>7.46E-2</v>
      </c>
    </row>
    <row r="105" spans="1:11" x14ac:dyDescent="0.3">
      <c r="A105" t="s">
        <v>38</v>
      </c>
      <c r="B105" t="s">
        <v>40</v>
      </c>
      <c r="C105" s="1">
        <v>45383</v>
      </c>
      <c r="D105">
        <v>42</v>
      </c>
      <c r="E105">
        <v>14</v>
      </c>
      <c r="F105">
        <v>321.29000000000002</v>
      </c>
      <c r="G105">
        <v>7</v>
      </c>
      <c r="H105" s="2">
        <v>0.5</v>
      </c>
      <c r="I105">
        <v>4298.2700000000004</v>
      </c>
      <c r="J105">
        <v>1</v>
      </c>
      <c r="K105" s="2">
        <v>7.4499999999999997E-2</v>
      </c>
    </row>
    <row r="106" spans="1:11" x14ac:dyDescent="0.3">
      <c r="A106" t="s">
        <v>11</v>
      </c>
      <c r="B106" t="s">
        <v>40</v>
      </c>
      <c r="C106" s="1">
        <v>45413</v>
      </c>
      <c r="D106">
        <v>69</v>
      </c>
      <c r="E106">
        <v>16</v>
      </c>
      <c r="F106">
        <v>299.22000000000003</v>
      </c>
      <c r="G106">
        <v>6</v>
      </c>
      <c r="H106" s="2">
        <v>0.375</v>
      </c>
      <c r="I106">
        <v>3716.14</v>
      </c>
      <c r="J106">
        <v>3</v>
      </c>
      <c r="K106" s="2">
        <v>2.63E-2</v>
      </c>
    </row>
    <row r="107" spans="1:11" x14ac:dyDescent="0.3">
      <c r="A107" t="s">
        <v>13</v>
      </c>
      <c r="B107" t="s">
        <v>40</v>
      </c>
      <c r="C107" s="1">
        <v>45413</v>
      </c>
      <c r="D107">
        <v>68</v>
      </c>
      <c r="E107">
        <v>11</v>
      </c>
      <c r="F107">
        <v>345.62</v>
      </c>
      <c r="G107">
        <v>4</v>
      </c>
      <c r="H107" s="2">
        <v>0.36363636363636365</v>
      </c>
      <c r="I107">
        <v>3558.13</v>
      </c>
      <c r="J107">
        <v>2</v>
      </c>
      <c r="K107" s="2">
        <v>4.0800000000000003E-2</v>
      </c>
    </row>
    <row r="108" spans="1:11" x14ac:dyDescent="0.3">
      <c r="A108" t="s">
        <v>14</v>
      </c>
      <c r="B108" t="s">
        <v>40</v>
      </c>
      <c r="C108" s="1">
        <v>45413</v>
      </c>
      <c r="D108">
        <v>45</v>
      </c>
      <c r="E108">
        <v>17</v>
      </c>
      <c r="F108">
        <v>416.96</v>
      </c>
      <c r="G108">
        <v>3</v>
      </c>
      <c r="H108" s="2">
        <v>0.17647058823529413</v>
      </c>
      <c r="I108">
        <v>3327.07</v>
      </c>
      <c r="J108">
        <v>1</v>
      </c>
      <c r="K108" s="2">
        <v>4.0999999999999995E-2</v>
      </c>
    </row>
    <row r="109" spans="1:11" x14ac:dyDescent="0.3">
      <c r="A109" t="s">
        <v>15</v>
      </c>
      <c r="B109" t="s">
        <v>40</v>
      </c>
      <c r="C109" s="1">
        <v>45413</v>
      </c>
      <c r="D109">
        <v>17</v>
      </c>
      <c r="E109">
        <v>8</v>
      </c>
      <c r="F109">
        <v>72.05</v>
      </c>
      <c r="G109">
        <v>3</v>
      </c>
      <c r="H109" s="2">
        <v>0.375</v>
      </c>
      <c r="I109">
        <v>1672.82</v>
      </c>
      <c r="J109">
        <v>3</v>
      </c>
      <c r="K109" s="2">
        <v>3.0299999999999997E-2</v>
      </c>
    </row>
    <row r="110" spans="1:11" x14ac:dyDescent="0.3">
      <c r="A110" t="s">
        <v>16</v>
      </c>
      <c r="B110" t="s">
        <v>40</v>
      </c>
      <c r="C110" s="1">
        <v>45413</v>
      </c>
      <c r="D110">
        <v>85</v>
      </c>
      <c r="E110">
        <v>13</v>
      </c>
      <c r="F110">
        <v>475.61</v>
      </c>
      <c r="G110">
        <v>5</v>
      </c>
      <c r="H110" s="2">
        <v>0.38461538461538464</v>
      </c>
      <c r="I110">
        <v>939.32</v>
      </c>
      <c r="J110">
        <v>2</v>
      </c>
      <c r="K110" s="2">
        <v>3.6400000000000002E-2</v>
      </c>
    </row>
    <row r="111" spans="1:11" x14ac:dyDescent="0.3">
      <c r="A111" t="s">
        <v>17</v>
      </c>
      <c r="B111" t="s">
        <v>40</v>
      </c>
      <c r="C111" s="1">
        <v>45413</v>
      </c>
      <c r="D111">
        <v>49</v>
      </c>
      <c r="E111">
        <v>7</v>
      </c>
      <c r="F111">
        <v>469.53</v>
      </c>
      <c r="G111">
        <v>3</v>
      </c>
      <c r="H111" s="2">
        <v>0.42857142857142855</v>
      </c>
      <c r="I111">
        <v>3623.32</v>
      </c>
      <c r="J111">
        <v>1</v>
      </c>
      <c r="K111" s="2">
        <v>1.21E-2</v>
      </c>
    </row>
    <row r="112" spans="1:11" x14ac:dyDescent="0.3">
      <c r="A112" t="s">
        <v>18</v>
      </c>
      <c r="B112" t="s">
        <v>40</v>
      </c>
      <c r="C112" s="1">
        <v>45413</v>
      </c>
      <c r="D112">
        <v>66</v>
      </c>
      <c r="E112">
        <v>15</v>
      </c>
      <c r="F112">
        <v>333.1</v>
      </c>
      <c r="G112">
        <v>2</v>
      </c>
      <c r="H112" s="2">
        <v>0.13333333333333333</v>
      </c>
      <c r="I112">
        <v>2631.58</v>
      </c>
      <c r="J112">
        <v>1</v>
      </c>
      <c r="K112" s="2">
        <v>0.10249999999999999</v>
      </c>
    </row>
    <row r="113" spans="1:11" x14ac:dyDescent="0.3">
      <c r="A113" t="s">
        <v>19</v>
      </c>
      <c r="B113" t="s">
        <v>40</v>
      </c>
      <c r="C113" s="1">
        <v>45413</v>
      </c>
      <c r="D113">
        <v>63</v>
      </c>
      <c r="E113">
        <v>9</v>
      </c>
      <c r="F113">
        <v>258.11</v>
      </c>
      <c r="G113">
        <v>7</v>
      </c>
      <c r="H113" s="2">
        <v>0.77777777777777779</v>
      </c>
      <c r="I113">
        <v>4064.36</v>
      </c>
      <c r="J113">
        <v>3</v>
      </c>
      <c r="K113" s="2">
        <v>4.1599999999999998E-2</v>
      </c>
    </row>
    <row r="114" spans="1:11" x14ac:dyDescent="0.3">
      <c r="A114" t="s">
        <v>20</v>
      </c>
      <c r="B114" t="s">
        <v>40</v>
      </c>
      <c r="C114" s="1">
        <v>45413</v>
      </c>
      <c r="D114">
        <v>31</v>
      </c>
      <c r="E114">
        <v>20</v>
      </c>
      <c r="F114">
        <v>400.8</v>
      </c>
      <c r="G114">
        <v>8</v>
      </c>
      <c r="H114" s="2">
        <v>0.4</v>
      </c>
      <c r="I114">
        <v>1294.3599999999999</v>
      </c>
      <c r="J114">
        <v>2</v>
      </c>
      <c r="K114" s="2">
        <v>5.6399999999999999E-2</v>
      </c>
    </row>
    <row r="115" spans="1:11" x14ac:dyDescent="0.3">
      <c r="A115" t="s">
        <v>21</v>
      </c>
      <c r="B115" t="s">
        <v>40</v>
      </c>
      <c r="C115" s="1">
        <v>45413</v>
      </c>
      <c r="D115">
        <v>75</v>
      </c>
      <c r="E115">
        <v>19</v>
      </c>
      <c r="F115">
        <v>343.28</v>
      </c>
      <c r="G115">
        <v>9</v>
      </c>
      <c r="H115" s="2">
        <v>0.47368421052631576</v>
      </c>
      <c r="I115">
        <v>899.46</v>
      </c>
      <c r="J115">
        <v>1</v>
      </c>
      <c r="K115" s="2">
        <v>3.2199999999999999E-2</v>
      </c>
    </row>
    <row r="116" spans="1:11" x14ac:dyDescent="0.3">
      <c r="A116" t="s">
        <v>22</v>
      </c>
      <c r="B116" t="s">
        <v>40</v>
      </c>
      <c r="C116" s="1">
        <v>45413</v>
      </c>
      <c r="D116">
        <v>18</v>
      </c>
      <c r="E116">
        <v>7</v>
      </c>
      <c r="F116">
        <v>204.63</v>
      </c>
      <c r="G116">
        <v>7</v>
      </c>
      <c r="H116" s="2">
        <v>1</v>
      </c>
      <c r="I116">
        <v>789.77</v>
      </c>
      <c r="J116">
        <v>3</v>
      </c>
      <c r="K116" s="2">
        <v>7.4499999999999997E-2</v>
      </c>
    </row>
    <row r="117" spans="1:11" x14ac:dyDescent="0.3">
      <c r="A117" t="s">
        <v>23</v>
      </c>
      <c r="B117" t="s">
        <v>40</v>
      </c>
      <c r="C117" s="1">
        <v>45413</v>
      </c>
      <c r="D117">
        <v>35</v>
      </c>
      <c r="E117">
        <v>6</v>
      </c>
      <c r="F117">
        <v>553.11</v>
      </c>
      <c r="G117">
        <v>4</v>
      </c>
      <c r="H117" s="2">
        <v>0.66666666666666663</v>
      </c>
      <c r="I117">
        <v>3867.67</v>
      </c>
      <c r="J117">
        <v>2</v>
      </c>
      <c r="K117" s="2">
        <v>3.8300000000000001E-2</v>
      </c>
    </row>
    <row r="118" spans="1:11" x14ac:dyDescent="0.3">
      <c r="A118" t="s">
        <v>24</v>
      </c>
      <c r="B118" t="s">
        <v>40</v>
      </c>
      <c r="C118" s="1">
        <v>45413</v>
      </c>
      <c r="D118">
        <v>74</v>
      </c>
      <c r="E118">
        <v>20</v>
      </c>
      <c r="F118">
        <v>623.33000000000004</v>
      </c>
      <c r="G118">
        <v>2</v>
      </c>
      <c r="H118" s="2">
        <v>0.1</v>
      </c>
      <c r="I118">
        <v>359.97</v>
      </c>
      <c r="J118">
        <v>1</v>
      </c>
      <c r="K118" s="2">
        <v>3.8399999999999997E-2</v>
      </c>
    </row>
    <row r="119" spans="1:11" x14ac:dyDescent="0.3">
      <c r="A119" t="s">
        <v>25</v>
      </c>
      <c r="B119" t="s">
        <v>40</v>
      </c>
      <c r="C119" s="1">
        <v>45413</v>
      </c>
      <c r="D119">
        <v>26</v>
      </c>
      <c r="E119">
        <v>7</v>
      </c>
      <c r="F119">
        <v>200.45</v>
      </c>
      <c r="G119">
        <v>1</v>
      </c>
      <c r="H119" s="2">
        <v>0.14285714285714285</v>
      </c>
      <c r="I119">
        <v>3797.35</v>
      </c>
      <c r="J119">
        <v>3</v>
      </c>
      <c r="K119" s="2">
        <v>4.1399999999999999E-2</v>
      </c>
    </row>
    <row r="120" spans="1:11" x14ac:dyDescent="0.3">
      <c r="A120" t="s">
        <v>26</v>
      </c>
      <c r="B120" t="s">
        <v>40</v>
      </c>
      <c r="C120" s="1">
        <v>45413</v>
      </c>
      <c r="D120">
        <v>50</v>
      </c>
      <c r="E120">
        <v>7</v>
      </c>
      <c r="F120">
        <v>196.2</v>
      </c>
      <c r="G120">
        <v>2</v>
      </c>
      <c r="H120" s="2">
        <v>0.2857142857142857</v>
      </c>
      <c r="I120">
        <v>592.71</v>
      </c>
      <c r="J120">
        <v>2</v>
      </c>
      <c r="K120" s="2">
        <v>2.76E-2</v>
      </c>
    </row>
    <row r="121" spans="1:11" x14ac:dyDescent="0.3">
      <c r="A121" t="s">
        <v>27</v>
      </c>
      <c r="B121" t="s">
        <v>40</v>
      </c>
      <c r="C121" s="1">
        <v>45413</v>
      </c>
      <c r="D121">
        <v>97</v>
      </c>
      <c r="E121">
        <v>5</v>
      </c>
      <c r="F121">
        <v>185.62</v>
      </c>
      <c r="G121">
        <v>4</v>
      </c>
      <c r="H121" s="2">
        <v>0.8</v>
      </c>
      <c r="I121">
        <v>1282.81</v>
      </c>
      <c r="J121">
        <v>1</v>
      </c>
      <c r="K121" s="2">
        <v>7.22E-2</v>
      </c>
    </row>
    <row r="122" spans="1:11" x14ac:dyDescent="0.3">
      <c r="A122" t="s">
        <v>28</v>
      </c>
      <c r="B122" t="s">
        <v>40</v>
      </c>
      <c r="C122" s="1">
        <v>45413</v>
      </c>
      <c r="D122">
        <v>91</v>
      </c>
      <c r="E122">
        <v>7</v>
      </c>
      <c r="F122">
        <v>89.39</v>
      </c>
      <c r="G122">
        <v>6</v>
      </c>
      <c r="H122" s="2">
        <v>0.8571428571428571</v>
      </c>
      <c r="I122">
        <v>3971.59</v>
      </c>
      <c r="J122">
        <v>3</v>
      </c>
      <c r="K122" s="2">
        <v>9.0700000000000003E-2</v>
      </c>
    </row>
    <row r="123" spans="1:11" x14ac:dyDescent="0.3">
      <c r="A123" t="s">
        <v>29</v>
      </c>
      <c r="B123" t="s">
        <v>40</v>
      </c>
      <c r="C123" s="1">
        <v>45413</v>
      </c>
      <c r="D123">
        <v>21</v>
      </c>
      <c r="E123">
        <v>14</v>
      </c>
      <c r="F123">
        <v>472.79</v>
      </c>
      <c r="G123">
        <v>8</v>
      </c>
      <c r="H123" s="2">
        <v>0.5714285714285714</v>
      </c>
      <c r="I123">
        <v>3830.32</v>
      </c>
      <c r="J123">
        <v>2</v>
      </c>
      <c r="K123" s="2">
        <v>3.5200000000000002E-2</v>
      </c>
    </row>
    <row r="124" spans="1:11" x14ac:dyDescent="0.3">
      <c r="A124" t="s">
        <v>30</v>
      </c>
      <c r="B124" t="s">
        <v>40</v>
      </c>
      <c r="C124" s="1">
        <v>45413</v>
      </c>
      <c r="D124">
        <v>91</v>
      </c>
      <c r="E124">
        <v>15</v>
      </c>
      <c r="F124">
        <v>173.03</v>
      </c>
      <c r="G124">
        <v>4</v>
      </c>
      <c r="H124" s="2">
        <v>0.26666666666666666</v>
      </c>
      <c r="I124">
        <v>386.08</v>
      </c>
      <c r="J124">
        <v>1</v>
      </c>
      <c r="K124" s="2">
        <v>9.820000000000001E-2</v>
      </c>
    </row>
    <row r="125" spans="1:11" x14ac:dyDescent="0.3">
      <c r="A125" t="s">
        <v>31</v>
      </c>
      <c r="B125" t="s">
        <v>40</v>
      </c>
      <c r="C125" s="1">
        <v>45413</v>
      </c>
      <c r="D125">
        <v>67</v>
      </c>
      <c r="E125">
        <v>15</v>
      </c>
      <c r="F125">
        <v>499.68</v>
      </c>
      <c r="G125">
        <v>0</v>
      </c>
      <c r="H125" s="2">
        <v>0</v>
      </c>
      <c r="I125">
        <v>1287.1300000000001</v>
      </c>
      <c r="J125">
        <v>3</v>
      </c>
      <c r="K125" s="2">
        <v>1E-3</v>
      </c>
    </row>
    <row r="126" spans="1:11" x14ac:dyDescent="0.3">
      <c r="A126" t="s">
        <v>32</v>
      </c>
      <c r="B126" t="s">
        <v>40</v>
      </c>
      <c r="C126" s="1">
        <v>45413</v>
      </c>
      <c r="D126">
        <v>19</v>
      </c>
      <c r="E126">
        <v>13</v>
      </c>
      <c r="F126">
        <v>316.23</v>
      </c>
      <c r="G126">
        <v>1</v>
      </c>
      <c r="H126" s="2">
        <v>7.6923076923076927E-2</v>
      </c>
      <c r="I126">
        <v>1598.49</v>
      </c>
      <c r="J126">
        <v>2</v>
      </c>
      <c r="K126" s="2">
        <v>5.8299999999999998E-2</v>
      </c>
    </row>
    <row r="127" spans="1:11" x14ac:dyDescent="0.3">
      <c r="A127" t="s">
        <v>33</v>
      </c>
      <c r="B127" t="s">
        <v>40</v>
      </c>
      <c r="C127" s="1">
        <v>45413</v>
      </c>
      <c r="D127">
        <v>105</v>
      </c>
      <c r="E127">
        <v>6</v>
      </c>
      <c r="F127">
        <v>567.03</v>
      </c>
      <c r="G127">
        <v>1</v>
      </c>
      <c r="H127" s="2">
        <v>0.16666666666666666</v>
      </c>
      <c r="I127">
        <v>3496.65</v>
      </c>
      <c r="J127">
        <v>1</v>
      </c>
      <c r="K127" s="2">
        <v>3.0600000000000002E-2</v>
      </c>
    </row>
    <row r="128" spans="1:11" x14ac:dyDescent="0.3">
      <c r="A128" t="s">
        <v>34</v>
      </c>
      <c r="B128" t="s">
        <v>40</v>
      </c>
      <c r="C128" s="1">
        <v>45413</v>
      </c>
      <c r="D128">
        <v>73</v>
      </c>
      <c r="E128">
        <v>8</v>
      </c>
      <c r="F128">
        <v>175.52</v>
      </c>
      <c r="G128">
        <v>7</v>
      </c>
      <c r="H128" s="2">
        <v>0.875</v>
      </c>
      <c r="I128">
        <v>455.32</v>
      </c>
      <c r="J128">
        <v>3</v>
      </c>
      <c r="K128" s="2">
        <v>9.35E-2</v>
      </c>
    </row>
    <row r="129" spans="1:11" x14ac:dyDescent="0.3">
      <c r="A129" t="s">
        <v>35</v>
      </c>
      <c r="B129" t="s">
        <v>40</v>
      </c>
      <c r="C129" s="1">
        <v>45413</v>
      </c>
      <c r="D129">
        <v>111</v>
      </c>
      <c r="E129">
        <v>13</v>
      </c>
      <c r="F129">
        <v>358.31</v>
      </c>
      <c r="G129">
        <v>0</v>
      </c>
      <c r="H129" s="2">
        <v>0</v>
      </c>
      <c r="I129">
        <v>2811.77</v>
      </c>
      <c r="J129">
        <v>2</v>
      </c>
      <c r="K129" s="2">
        <v>2.7099999999999999E-2</v>
      </c>
    </row>
    <row r="130" spans="1:11" x14ac:dyDescent="0.3">
      <c r="A130" t="s">
        <v>37</v>
      </c>
      <c r="B130" t="s">
        <v>40</v>
      </c>
      <c r="C130" s="1">
        <v>45413</v>
      </c>
      <c r="D130">
        <v>38</v>
      </c>
      <c r="E130">
        <v>12</v>
      </c>
      <c r="F130">
        <v>556.33000000000004</v>
      </c>
      <c r="G130">
        <v>4</v>
      </c>
      <c r="H130" s="2">
        <v>0.33333333333333331</v>
      </c>
      <c r="I130">
        <v>241.08</v>
      </c>
      <c r="J130">
        <v>1</v>
      </c>
      <c r="K130" s="2">
        <v>7.0599999999999996E-2</v>
      </c>
    </row>
    <row r="131" spans="1:11" x14ac:dyDescent="0.3">
      <c r="A131" t="s">
        <v>38</v>
      </c>
      <c r="B131" t="s">
        <v>40</v>
      </c>
      <c r="C131" s="1">
        <v>45413</v>
      </c>
      <c r="D131">
        <v>33</v>
      </c>
      <c r="E131">
        <v>17</v>
      </c>
      <c r="F131">
        <v>371.65</v>
      </c>
      <c r="G131">
        <v>9</v>
      </c>
      <c r="H131" s="2">
        <v>0.52941176470588236</v>
      </c>
      <c r="I131">
        <v>4068.75</v>
      </c>
      <c r="J131">
        <v>3</v>
      </c>
      <c r="K131" s="2">
        <v>8.5500000000000007E-2</v>
      </c>
    </row>
    <row r="132" spans="1:11" x14ac:dyDescent="0.3">
      <c r="A132" t="s">
        <v>11</v>
      </c>
      <c r="B132" t="s">
        <v>40</v>
      </c>
      <c r="C132" s="1">
        <v>45444</v>
      </c>
      <c r="D132">
        <v>59</v>
      </c>
      <c r="E132">
        <v>16</v>
      </c>
      <c r="F132">
        <v>359.47</v>
      </c>
      <c r="G132">
        <v>7</v>
      </c>
      <c r="H132" s="2">
        <v>0.4375</v>
      </c>
      <c r="I132">
        <v>3958.94</v>
      </c>
      <c r="J132">
        <v>2</v>
      </c>
      <c r="K132" s="2">
        <v>2.46E-2</v>
      </c>
    </row>
    <row r="133" spans="1:11" x14ac:dyDescent="0.3">
      <c r="A133" t="s">
        <v>13</v>
      </c>
      <c r="B133" t="s">
        <v>40</v>
      </c>
      <c r="C133" s="1">
        <v>45444</v>
      </c>
      <c r="D133">
        <v>71</v>
      </c>
      <c r="E133">
        <v>11</v>
      </c>
      <c r="F133">
        <v>379.33</v>
      </c>
      <c r="G133">
        <v>4</v>
      </c>
      <c r="H133" s="2">
        <v>0.36363636363636365</v>
      </c>
      <c r="I133">
        <v>4003.52</v>
      </c>
      <c r="J133">
        <v>1</v>
      </c>
      <c r="K133" s="2">
        <v>4.2900000000000001E-2</v>
      </c>
    </row>
    <row r="134" spans="1:11" x14ac:dyDescent="0.3">
      <c r="A134" t="s">
        <v>14</v>
      </c>
      <c r="B134" t="s">
        <v>40</v>
      </c>
      <c r="C134" s="1">
        <v>45444</v>
      </c>
      <c r="D134">
        <v>48</v>
      </c>
      <c r="E134">
        <v>14</v>
      </c>
      <c r="F134">
        <v>383.94</v>
      </c>
      <c r="G134">
        <v>3</v>
      </c>
      <c r="H134" s="2">
        <v>0.21428571428571427</v>
      </c>
      <c r="I134">
        <v>3173.36</v>
      </c>
      <c r="J134">
        <v>3</v>
      </c>
      <c r="K134" s="2">
        <v>4.0999999999999995E-2</v>
      </c>
    </row>
    <row r="135" spans="1:11" x14ac:dyDescent="0.3">
      <c r="A135" t="s">
        <v>15</v>
      </c>
      <c r="B135" t="s">
        <v>40</v>
      </c>
      <c r="C135" s="1">
        <v>45444</v>
      </c>
      <c r="D135">
        <v>18</v>
      </c>
      <c r="E135">
        <v>7</v>
      </c>
      <c r="F135">
        <v>85.32</v>
      </c>
      <c r="G135">
        <v>3</v>
      </c>
      <c r="H135" s="2">
        <v>0.42857142857142855</v>
      </c>
      <c r="I135">
        <v>1431.69</v>
      </c>
      <c r="J135">
        <v>2</v>
      </c>
      <c r="K135" s="2">
        <v>3.1600000000000003E-2</v>
      </c>
    </row>
    <row r="136" spans="1:11" x14ac:dyDescent="0.3">
      <c r="A136" t="s">
        <v>16</v>
      </c>
      <c r="B136" t="s">
        <v>40</v>
      </c>
      <c r="C136" s="1">
        <v>45444</v>
      </c>
      <c r="D136">
        <v>93</v>
      </c>
      <c r="E136">
        <v>14</v>
      </c>
      <c r="F136">
        <v>466.81</v>
      </c>
      <c r="G136">
        <v>5</v>
      </c>
      <c r="H136" s="2">
        <v>0.35714285714285715</v>
      </c>
      <c r="I136">
        <v>988.98</v>
      </c>
      <c r="J136">
        <v>1</v>
      </c>
      <c r="K136" s="2">
        <v>4.2300000000000004E-2</v>
      </c>
    </row>
    <row r="137" spans="1:11" x14ac:dyDescent="0.3">
      <c r="A137" t="s">
        <v>17</v>
      </c>
      <c r="B137" t="s">
        <v>41</v>
      </c>
      <c r="C137" s="1">
        <v>45444</v>
      </c>
      <c r="D137">
        <v>49</v>
      </c>
      <c r="E137">
        <v>7</v>
      </c>
      <c r="F137">
        <v>512.88</v>
      </c>
      <c r="G137">
        <v>2</v>
      </c>
      <c r="H137" s="2">
        <v>0.2857142857142857</v>
      </c>
      <c r="I137">
        <v>3545.66</v>
      </c>
      <c r="J137">
        <v>1</v>
      </c>
      <c r="K137" s="2">
        <v>1.2699999999999999E-2</v>
      </c>
    </row>
    <row r="138" spans="1:11" x14ac:dyDescent="0.3">
      <c r="A138" t="s">
        <v>18</v>
      </c>
      <c r="B138" t="s">
        <v>41</v>
      </c>
      <c r="C138" s="1">
        <v>45444</v>
      </c>
      <c r="D138">
        <v>85</v>
      </c>
      <c r="E138">
        <v>17</v>
      </c>
      <c r="F138">
        <v>324.56</v>
      </c>
      <c r="G138">
        <v>3</v>
      </c>
      <c r="H138" s="2">
        <v>0.17647058823529413</v>
      </c>
      <c r="I138">
        <v>2420.5300000000002</v>
      </c>
      <c r="J138">
        <v>3</v>
      </c>
      <c r="K138" s="2">
        <v>8.929999999999999E-2</v>
      </c>
    </row>
    <row r="139" spans="1:11" x14ac:dyDescent="0.3">
      <c r="A139" t="s">
        <v>19</v>
      </c>
      <c r="B139" t="s">
        <v>41</v>
      </c>
      <c r="C139" s="1">
        <v>45444</v>
      </c>
      <c r="D139">
        <v>61</v>
      </c>
      <c r="E139">
        <v>7</v>
      </c>
      <c r="F139">
        <v>219.53</v>
      </c>
      <c r="G139">
        <v>7</v>
      </c>
      <c r="H139" s="2">
        <v>1</v>
      </c>
      <c r="I139">
        <v>3860.12</v>
      </c>
      <c r="J139">
        <v>2</v>
      </c>
      <c r="K139" s="2">
        <v>4.3499999999999997E-2</v>
      </c>
    </row>
    <row r="140" spans="1:11" x14ac:dyDescent="0.3">
      <c r="A140" t="s">
        <v>20</v>
      </c>
      <c r="B140" t="s">
        <v>41</v>
      </c>
      <c r="C140" s="1">
        <v>45444</v>
      </c>
      <c r="D140">
        <v>30</v>
      </c>
      <c r="E140">
        <v>16</v>
      </c>
      <c r="F140">
        <v>353.65</v>
      </c>
      <c r="G140">
        <v>9</v>
      </c>
      <c r="H140" s="2">
        <v>0.5625</v>
      </c>
      <c r="I140">
        <v>1213.5899999999999</v>
      </c>
      <c r="J140">
        <v>1</v>
      </c>
      <c r="K140" s="2">
        <v>6.2E-2</v>
      </c>
    </row>
    <row r="141" spans="1:11" x14ac:dyDescent="0.3">
      <c r="A141" t="s">
        <v>21</v>
      </c>
      <c r="B141" t="s">
        <v>41</v>
      </c>
      <c r="C141" s="1">
        <v>45444</v>
      </c>
      <c r="D141">
        <v>54</v>
      </c>
      <c r="E141">
        <v>16</v>
      </c>
      <c r="F141">
        <v>334.41</v>
      </c>
      <c r="G141">
        <v>9</v>
      </c>
      <c r="H141" s="2">
        <v>0.5625</v>
      </c>
      <c r="I141">
        <v>1056.98</v>
      </c>
      <c r="J141">
        <v>3</v>
      </c>
      <c r="K141" s="2">
        <v>3.5200000000000002E-2</v>
      </c>
    </row>
    <row r="142" spans="1:11" x14ac:dyDescent="0.3">
      <c r="A142" t="s">
        <v>22</v>
      </c>
      <c r="B142" t="s">
        <v>41</v>
      </c>
      <c r="C142" s="1">
        <v>45444</v>
      </c>
      <c r="D142">
        <v>19</v>
      </c>
      <c r="E142">
        <v>7</v>
      </c>
      <c r="F142">
        <v>199.46</v>
      </c>
      <c r="G142">
        <v>7</v>
      </c>
      <c r="H142" s="2">
        <v>1</v>
      </c>
      <c r="I142">
        <v>809.56</v>
      </c>
      <c r="J142">
        <v>2</v>
      </c>
      <c r="K142" s="2">
        <v>7.1399999999999991E-2</v>
      </c>
    </row>
    <row r="143" spans="1:11" x14ac:dyDescent="0.3">
      <c r="A143" t="s">
        <v>23</v>
      </c>
      <c r="B143" t="s">
        <v>41</v>
      </c>
      <c r="C143" s="1">
        <v>45444</v>
      </c>
      <c r="D143">
        <v>40</v>
      </c>
      <c r="E143">
        <v>6</v>
      </c>
      <c r="F143">
        <v>509.67</v>
      </c>
      <c r="G143">
        <v>4</v>
      </c>
      <c r="H143" s="2">
        <v>0.66666666666666663</v>
      </c>
      <c r="I143">
        <v>3330.44</v>
      </c>
      <c r="J143">
        <v>1</v>
      </c>
      <c r="K143" s="2">
        <v>3.8300000000000001E-2</v>
      </c>
    </row>
    <row r="144" spans="1:11" x14ac:dyDescent="0.3">
      <c r="A144" t="s">
        <v>24</v>
      </c>
      <c r="B144" t="s">
        <v>41</v>
      </c>
      <c r="C144" s="1">
        <v>45444</v>
      </c>
      <c r="D144">
        <v>73</v>
      </c>
      <c r="E144">
        <v>21</v>
      </c>
      <c r="F144">
        <v>601.02</v>
      </c>
      <c r="G144">
        <v>2</v>
      </c>
      <c r="H144" s="2">
        <v>9.5238095238095233E-2</v>
      </c>
      <c r="I144">
        <v>364.56</v>
      </c>
      <c r="J144">
        <v>3</v>
      </c>
      <c r="K144" s="2">
        <v>3.4300000000000004E-2</v>
      </c>
    </row>
    <row r="145" spans="1:11" x14ac:dyDescent="0.3">
      <c r="A145" t="s">
        <v>25</v>
      </c>
      <c r="B145" t="s">
        <v>41</v>
      </c>
      <c r="C145" s="1">
        <v>45444</v>
      </c>
      <c r="D145">
        <v>36</v>
      </c>
      <c r="E145">
        <v>9</v>
      </c>
      <c r="F145">
        <v>196.74</v>
      </c>
      <c r="G145">
        <v>1</v>
      </c>
      <c r="H145" s="2">
        <v>0.1111111111111111</v>
      </c>
      <c r="I145">
        <v>3760.57</v>
      </c>
      <c r="J145">
        <v>2</v>
      </c>
      <c r="K145" s="2">
        <v>3.9800000000000002E-2</v>
      </c>
    </row>
    <row r="146" spans="1:11" x14ac:dyDescent="0.3">
      <c r="A146" t="s">
        <v>26</v>
      </c>
      <c r="B146" t="s">
        <v>41</v>
      </c>
      <c r="C146" s="1">
        <v>45444</v>
      </c>
      <c r="D146">
        <v>58</v>
      </c>
      <c r="E146">
        <v>8</v>
      </c>
      <c r="F146">
        <v>196.58</v>
      </c>
      <c r="G146">
        <v>3</v>
      </c>
      <c r="H146" s="2">
        <v>0.375</v>
      </c>
      <c r="I146">
        <v>692.47</v>
      </c>
      <c r="J146">
        <v>1</v>
      </c>
      <c r="K146" s="2">
        <v>3.27E-2</v>
      </c>
    </row>
    <row r="147" spans="1:11" x14ac:dyDescent="0.3">
      <c r="A147" t="s">
        <v>27</v>
      </c>
      <c r="B147" t="s">
        <v>41</v>
      </c>
      <c r="C147" s="1">
        <v>45444</v>
      </c>
      <c r="D147">
        <v>100</v>
      </c>
      <c r="E147">
        <v>5</v>
      </c>
      <c r="F147">
        <v>153.87</v>
      </c>
      <c r="G147">
        <v>2</v>
      </c>
      <c r="H147" s="2">
        <v>0.4</v>
      </c>
      <c r="I147">
        <v>1190.24</v>
      </c>
      <c r="J147">
        <v>3</v>
      </c>
      <c r="K147" s="2">
        <v>8.0600000000000005E-2</v>
      </c>
    </row>
    <row r="148" spans="1:11" x14ac:dyDescent="0.3">
      <c r="A148" t="s">
        <v>28</v>
      </c>
      <c r="B148" t="s">
        <v>41</v>
      </c>
      <c r="C148" s="1">
        <v>45444</v>
      </c>
      <c r="D148">
        <v>93</v>
      </c>
      <c r="E148">
        <v>5</v>
      </c>
      <c r="F148">
        <v>85.65</v>
      </c>
      <c r="G148">
        <v>5</v>
      </c>
      <c r="H148" s="2">
        <v>1</v>
      </c>
      <c r="I148">
        <v>3913.17</v>
      </c>
      <c r="J148">
        <v>2</v>
      </c>
      <c r="K148" s="2">
        <v>9.5700000000000007E-2</v>
      </c>
    </row>
    <row r="149" spans="1:11" x14ac:dyDescent="0.3">
      <c r="A149" t="s">
        <v>29</v>
      </c>
      <c r="B149" t="s">
        <v>41</v>
      </c>
      <c r="C149" s="1">
        <v>45444</v>
      </c>
      <c r="D149">
        <v>28</v>
      </c>
      <c r="E149">
        <v>16</v>
      </c>
      <c r="F149">
        <v>506.95</v>
      </c>
      <c r="G149">
        <v>6</v>
      </c>
      <c r="H149" s="2">
        <v>0.375</v>
      </c>
      <c r="I149">
        <v>3993.03</v>
      </c>
      <c r="J149">
        <v>3</v>
      </c>
      <c r="K149" s="2">
        <v>3.0600000000000002E-2</v>
      </c>
    </row>
    <row r="150" spans="1:11" x14ac:dyDescent="0.3">
      <c r="A150" t="s">
        <v>30</v>
      </c>
      <c r="B150" t="s">
        <v>41</v>
      </c>
      <c r="C150" s="1">
        <v>45444</v>
      </c>
      <c r="D150">
        <v>88</v>
      </c>
      <c r="E150">
        <v>18</v>
      </c>
      <c r="F150">
        <v>181.21</v>
      </c>
      <c r="G150">
        <v>4</v>
      </c>
      <c r="H150" s="2">
        <v>0.22222222222222221</v>
      </c>
      <c r="I150">
        <v>377.13</v>
      </c>
      <c r="J150">
        <v>2</v>
      </c>
      <c r="K150" s="2">
        <v>0.10009999999999999</v>
      </c>
    </row>
    <row r="151" spans="1:11" x14ac:dyDescent="0.3">
      <c r="A151" t="s">
        <v>31</v>
      </c>
      <c r="B151" t="s">
        <v>41</v>
      </c>
      <c r="C151" s="1">
        <v>45444</v>
      </c>
      <c r="D151">
        <v>69</v>
      </c>
      <c r="E151">
        <v>16</v>
      </c>
      <c r="F151">
        <v>495.32</v>
      </c>
      <c r="G151">
        <v>0</v>
      </c>
      <c r="H151" s="2">
        <v>0</v>
      </c>
      <c r="I151">
        <v>1262.99</v>
      </c>
      <c r="J151">
        <v>1</v>
      </c>
      <c r="K151" s="2">
        <v>1E-3</v>
      </c>
    </row>
    <row r="152" spans="1:11" x14ac:dyDescent="0.3">
      <c r="A152" t="s">
        <v>32</v>
      </c>
      <c r="B152" t="s">
        <v>41</v>
      </c>
      <c r="C152" s="1">
        <v>45444</v>
      </c>
      <c r="D152">
        <v>21</v>
      </c>
      <c r="E152">
        <v>16</v>
      </c>
      <c r="F152">
        <v>315.91000000000003</v>
      </c>
      <c r="G152">
        <v>1</v>
      </c>
      <c r="H152" s="2">
        <v>6.25E-2</v>
      </c>
      <c r="I152">
        <v>1455.83</v>
      </c>
      <c r="J152">
        <v>3</v>
      </c>
      <c r="K152" s="2">
        <v>5.1299999999999998E-2</v>
      </c>
    </row>
    <row r="153" spans="1:11" x14ac:dyDescent="0.3">
      <c r="A153" t="s">
        <v>33</v>
      </c>
      <c r="B153" t="s">
        <v>41</v>
      </c>
      <c r="C153" s="1">
        <v>45444</v>
      </c>
      <c r="D153">
        <v>92</v>
      </c>
      <c r="E153">
        <v>5</v>
      </c>
      <c r="F153">
        <v>569.75</v>
      </c>
      <c r="G153">
        <v>2</v>
      </c>
      <c r="H153" s="2">
        <v>0.4</v>
      </c>
      <c r="I153">
        <v>3734.43</v>
      </c>
      <c r="J153">
        <v>2</v>
      </c>
      <c r="K153" s="2">
        <v>2.76E-2</v>
      </c>
    </row>
    <row r="154" spans="1:11" x14ac:dyDescent="0.3">
      <c r="A154" t="s">
        <v>34</v>
      </c>
      <c r="B154" t="s">
        <v>41</v>
      </c>
      <c r="C154" s="1">
        <v>45444</v>
      </c>
      <c r="D154">
        <v>58</v>
      </c>
      <c r="E154">
        <v>7</v>
      </c>
      <c r="F154">
        <v>173.24</v>
      </c>
      <c r="G154">
        <v>7</v>
      </c>
      <c r="H154" s="2">
        <v>1</v>
      </c>
      <c r="I154">
        <v>525.73</v>
      </c>
      <c r="J154">
        <v>1</v>
      </c>
      <c r="K154" s="2">
        <v>8.2299999999999998E-2</v>
      </c>
    </row>
    <row r="155" spans="1:11" x14ac:dyDescent="0.3">
      <c r="A155" t="s">
        <v>35</v>
      </c>
      <c r="B155" t="s">
        <v>41</v>
      </c>
      <c r="C155" s="1">
        <v>45444</v>
      </c>
      <c r="D155">
        <v>114</v>
      </c>
      <c r="E155">
        <v>13</v>
      </c>
      <c r="F155">
        <v>364.35</v>
      </c>
      <c r="G155">
        <v>0</v>
      </c>
      <c r="H155" s="2">
        <v>0</v>
      </c>
      <c r="I155">
        <v>2988.28</v>
      </c>
      <c r="J155">
        <v>3</v>
      </c>
      <c r="K155" s="2">
        <v>2.58E-2</v>
      </c>
    </row>
    <row r="156" spans="1:11" x14ac:dyDescent="0.3">
      <c r="A156" t="s">
        <v>37</v>
      </c>
      <c r="B156" t="s">
        <v>41</v>
      </c>
      <c r="C156" s="1">
        <v>45444</v>
      </c>
      <c r="D156">
        <v>35</v>
      </c>
      <c r="E156">
        <v>12</v>
      </c>
      <c r="F156">
        <v>515.24</v>
      </c>
      <c r="G156">
        <v>5</v>
      </c>
      <c r="H156" s="2">
        <v>0.41666666666666669</v>
      </c>
      <c r="I156">
        <v>224.24</v>
      </c>
      <c r="J156">
        <v>2</v>
      </c>
      <c r="K156" s="2">
        <v>6.9800000000000001E-2</v>
      </c>
    </row>
    <row r="157" spans="1:11" x14ac:dyDescent="0.3">
      <c r="A157" t="s">
        <v>38</v>
      </c>
      <c r="B157" t="s">
        <v>41</v>
      </c>
      <c r="C157" s="1">
        <v>45444</v>
      </c>
      <c r="D157">
        <v>35</v>
      </c>
      <c r="E157">
        <v>16</v>
      </c>
      <c r="F157">
        <v>351.71</v>
      </c>
      <c r="G157">
        <v>9</v>
      </c>
      <c r="H157" s="2">
        <v>0.5625</v>
      </c>
      <c r="I157">
        <v>3984.69</v>
      </c>
      <c r="J157">
        <v>1</v>
      </c>
      <c r="K157" s="2">
        <v>7.4099999999999999E-2</v>
      </c>
    </row>
    <row r="158" spans="1:11" x14ac:dyDescent="0.3">
      <c r="A158" t="s">
        <v>11</v>
      </c>
      <c r="B158" t="s">
        <v>41</v>
      </c>
      <c r="C158" s="1">
        <v>45474</v>
      </c>
      <c r="D158">
        <v>71</v>
      </c>
      <c r="E158">
        <v>17</v>
      </c>
      <c r="F158">
        <v>360.1</v>
      </c>
      <c r="G158">
        <v>6</v>
      </c>
      <c r="H158" s="2">
        <v>0.35294117647058826</v>
      </c>
      <c r="I158">
        <v>4444.83</v>
      </c>
      <c r="J158">
        <v>3</v>
      </c>
      <c r="K158" s="2">
        <v>2.9500000000000002E-2</v>
      </c>
    </row>
    <row r="159" spans="1:11" x14ac:dyDescent="0.3">
      <c r="A159" t="s">
        <v>13</v>
      </c>
      <c r="B159" t="s">
        <v>41</v>
      </c>
      <c r="C159" s="1">
        <v>45474</v>
      </c>
      <c r="D159">
        <v>62</v>
      </c>
      <c r="E159">
        <v>13</v>
      </c>
      <c r="F159">
        <v>364.64</v>
      </c>
      <c r="G159">
        <v>4</v>
      </c>
      <c r="H159" s="2">
        <v>0.30769230769230771</v>
      </c>
      <c r="I159">
        <v>3704.33</v>
      </c>
      <c r="J159">
        <v>2</v>
      </c>
      <c r="K159" s="2">
        <v>3.7499999999999999E-2</v>
      </c>
    </row>
    <row r="160" spans="1:11" x14ac:dyDescent="0.3">
      <c r="A160" t="s">
        <v>14</v>
      </c>
      <c r="B160" t="s">
        <v>41</v>
      </c>
      <c r="C160" s="1">
        <v>45474</v>
      </c>
      <c r="D160">
        <v>53</v>
      </c>
      <c r="E160">
        <v>14</v>
      </c>
      <c r="F160">
        <v>367.56</v>
      </c>
      <c r="G160">
        <v>2</v>
      </c>
      <c r="H160" s="2">
        <v>0.14285714285714285</v>
      </c>
      <c r="I160">
        <v>3514.07</v>
      </c>
      <c r="J160">
        <v>1</v>
      </c>
      <c r="K160" s="2">
        <v>4.0099999999999997E-2</v>
      </c>
    </row>
    <row r="161" spans="1:11" x14ac:dyDescent="0.3">
      <c r="A161" t="s">
        <v>15</v>
      </c>
      <c r="B161" t="s">
        <v>41</v>
      </c>
      <c r="C161" s="1">
        <v>45474</v>
      </c>
      <c r="D161">
        <v>18</v>
      </c>
      <c r="E161">
        <v>6</v>
      </c>
      <c r="F161">
        <v>76.27</v>
      </c>
      <c r="G161">
        <v>4</v>
      </c>
      <c r="H161" s="2">
        <v>0.66666666666666663</v>
      </c>
      <c r="I161">
        <v>1597.98</v>
      </c>
      <c r="J161">
        <v>1</v>
      </c>
      <c r="K161" s="2">
        <v>2.81E-2</v>
      </c>
    </row>
    <row r="162" spans="1:11" x14ac:dyDescent="0.3">
      <c r="A162" t="s">
        <v>16</v>
      </c>
      <c r="B162" t="s">
        <v>41</v>
      </c>
      <c r="C162" s="1">
        <v>45474</v>
      </c>
      <c r="D162">
        <v>71</v>
      </c>
      <c r="E162">
        <v>12</v>
      </c>
      <c r="F162">
        <v>487.04</v>
      </c>
      <c r="G162">
        <v>5</v>
      </c>
      <c r="H162" s="2">
        <v>0.41666666666666669</v>
      </c>
      <c r="I162">
        <v>1004.9</v>
      </c>
      <c r="J162">
        <v>3</v>
      </c>
      <c r="K162" s="2">
        <v>4.2099999999999999E-2</v>
      </c>
    </row>
    <row r="163" spans="1:11" x14ac:dyDescent="0.3">
      <c r="A163" t="s">
        <v>17</v>
      </c>
      <c r="B163" t="s">
        <v>41</v>
      </c>
      <c r="C163" s="1">
        <v>45474</v>
      </c>
      <c r="D163">
        <v>70</v>
      </c>
      <c r="E163">
        <v>5</v>
      </c>
      <c r="F163">
        <v>491.31</v>
      </c>
      <c r="G163">
        <v>3</v>
      </c>
      <c r="H163" s="2">
        <v>0.6</v>
      </c>
      <c r="I163">
        <v>3289.06</v>
      </c>
      <c r="J163">
        <v>2</v>
      </c>
      <c r="K163" s="2">
        <v>1.1299999999999999E-2</v>
      </c>
    </row>
    <row r="164" spans="1:11" x14ac:dyDescent="0.3">
      <c r="A164" t="s">
        <v>18</v>
      </c>
      <c r="B164" t="s">
        <v>41</v>
      </c>
      <c r="C164" s="1">
        <v>45474</v>
      </c>
      <c r="D164">
        <v>77</v>
      </c>
      <c r="E164">
        <v>15</v>
      </c>
      <c r="F164">
        <v>282.58999999999997</v>
      </c>
      <c r="G164">
        <v>2</v>
      </c>
      <c r="H164" s="2">
        <v>0.13333333333333333</v>
      </c>
      <c r="I164">
        <v>2296.14</v>
      </c>
      <c r="J164">
        <v>1</v>
      </c>
      <c r="K164" s="2">
        <v>9.5799999999999996E-2</v>
      </c>
    </row>
    <row r="165" spans="1:11" x14ac:dyDescent="0.3">
      <c r="A165" t="s">
        <v>19</v>
      </c>
      <c r="B165" t="s">
        <v>41</v>
      </c>
      <c r="C165" s="1">
        <v>45474</v>
      </c>
      <c r="D165">
        <v>50</v>
      </c>
      <c r="E165">
        <v>9</v>
      </c>
      <c r="F165">
        <v>246.06</v>
      </c>
      <c r="G165">
        <v>5</v>
      </c>
      <c r="H165" s="2">
        <v>0.55555555555555558</v>
      </c>
      <c r="I165">
        <v>4227.22</v>
      </c>
      <c r="J165">
        <v>3</v>
      </c>
      <c r="K165" s="2">
        <v>3.7200000000000004E-2</v>
      </c>
    </row>
    <row r="166" spans="1:11" x14ac:dyDescent="0.3">
      <c r="A166" t="s">
        <v>20</v>
      </c>
      <c r="B166" t="s">
        <v>41</v>
      </c>
      <c r="C166" s="1">
        <v>45474</v>
      </c>
      <c r="D166">
        <v>31</v>
      </c>
      <c r="E166">
        <v>15</v>
      </c>
      <c r="F166">
        <v>347.38</v>
      </c>
      <c r="G166">
        <v>10</v>
      </c>
      <c r="H166" s="2">
        <v>0.66666666666666663</v>
      </c>
      <c r="I166">
        <v>1101.06</v>
      </c>
      <c r="J166">
        <v>2</v>
      </c>
      <c r="K166" s="2">
        <v>6.0100000000000001E-2</v>
      </c>
    </row>
    <row r="167" spans="1:11" x14ac:dyDescent="0.3">
      <c r="A167" t="s">
        <v>21</v>
      </c>
      <c r="B167" t="s">
        <v>41</v>
      </c>
      <c r="C167" s="1">
        <v>45474</v>
      </c>
      <c r="D167">
        <v>77</v>
      </c>
      <c r="E167">
        <v>16</v>
      </c>
      <c r="F167">
        <v>335.59</v>
      </c>
      <c r="G167">
        <v>7</v>
      </c>
      <c r="H167" s="2">
        <v>0.4375</v>
      </c>
      <c r="I167">
        <v>1087.4100000000001</v>
      </c>
      <c r="J167">
        <v>1</v>
      </c>
      <c r="K167" s="2">
        <v>3.6900000000000002E-2</v>
      </c>
    </row>
    <row r="168" spans="1:11" x14ac:dyDescent="0.3">
      <c r="A168" t="s">
        <v>22</v>
      </c>
      <c r="B168" t="s">
        <v>41</v>
      </c>
      <c r="C168" s="1">
        <v>45474</v>
      </c>
      <c r="D168">
        <v>17</v>
      </c>
      <c r="E168">
        <v>8</v>
      </c>
      <c r="F168">
        <v>208.21</v>
      </c>
      <c r="G168">
        <v>4</v>
      </c>
      <c r="H168" s="2">
        <v>0.5</v>
      </c>
      <c r="I168">
        <v>828.73</v>
      </c>
      <c r="J168">
        <v>3</v>
      </c>
      <c r="K168" s="2">
        <v>7.4200000000000002E-2</v>
      </c>
    </row>
    <row r="169" spans="1:11" x14ac:dyDescent="0.3">
      <c r="A169" t="s">
        <v>23</v>
      </c>
      <c r="B169" t="s">
        <v>41</v>
      </c>
      <c r="C169" s="1">
        <v>45474</v>
      </c>
      <c r="D169">
        <v>32</v>
      </c>
      <c r="E169">
        <v>6</v>
      </c>
      <c r="F169">
        <v>553.58000000000004</v>
      </c>
      <c r="G169">
        <v>3</v>
      </c>
      <c r="H169" s="2">
        <v>0.5</v>
      </c>
      <c r="I169">
        <v>3939.56</v>
      </c>
      <c r="J169">
        <v>2</v>
      </c>
      <c r="K169" s="2">
        <v>3.78E-2</v>
      </c>
    </row>
    <row r="170" spans="1:11" x14ac:dyDescent="0.3">
      <c r="A170" t="s">
        <v>24</v>
      </c>
      <c r="B170" t="s">
        <v>41</v>
      </c>
      <c r="C170" s="1">
        <v>45474</v>
      </c>
      <c r="D170">
        <v>72</v>
      </c>
      <c r="E170">
        <v>21</v>
      </c>
      <c r="F170">
        <v>604.57000000000005</v>
      </c>
      <c r="G170">
        <v>2</v>
      </c>
      <c r="H170" s="2">
        <v>9.5238095238095233E-2</v>
      </c>
      <c r="I170">
        <v>327.82</v>
      </c>
      <c r="J170">
        <v>1</v>
      </c>
      <c r="K170" s="2">
        <v>3.6699999999999997E-2</v>
      </c>
    </row>
    <row r="171" spans="1:11" x14ac:dyDescent="0.3">
      <c r="A171" t="s">
        <v>25</v>
      </c>
      <c r="B171" t="s">
        <v>41</v>
      </c>
      <c r="C171" s="1">
        <v>45474</v>
      </c>
      <c r="D171">
        <v>34</v>
      </c>
      <c r="E171">
        <v>7</v>
      </c>
      <c r="F171">
        <v>199.39</v>
      </c>
      <c r="G171">
        <v>1</v>
      </c>
      <c r="H171" s="2">
        <v>0.14285714285714285</v>
      </c>
      <c r="I171">
        <v>3767.74</v>
      </c>
      <c r="J171">
        <v>3</v>
      </c>
      <c r="K171" s="2">
        <v>3.85E-2</v>
      </c>
    </row>
    <row r="172" spans="1:11" x14ac:dyDescent="0.3">
      <c r="A172" t="s">
        <v>26</v>
      </c>
      <c r="B172" t="s">
        <v>41</v>
      </c>
      <c r="C172" s="1">
        <v>45474</v>
      </c>
      <c r="D172">
        <v>71</v>
      </c>
      <c r="E172">
        <v>9</v>
      </c>
      <c r="F172">
        <v>220.4</v>
      </c>
      <c r="G172">
        <v>2</v>
      </c>
      <c r="H172" s="2">
        <v>0.22222222222222221</v>
      </c>
      <c r="I172">
        <v>692.29</v>
      </c>
      <c r="J172">
        <v>2</v>
      </c>
      <c r="K172" s="2">
        <v>2.8999999999999998E-2</v>
      </c>
    </row>
    <row r="173" spans="1:11" x14ac:dyDescent="0.3">
      <c r="A173" t="s">
        <v>27</v>
      </c>
      <c r="B173" t="s">
        <v>41</v>
      </c>
      <c r="C173" s="1">
        <v>45474</v>
      </c>
      <c r="D173">
        <v>83</v>
      </c>
      <c r="E173">
        <v>5</v>
      </c>
      <c r="F173">
        <v>166.85</v>
      </c>
      <c r="G173">
        <v>4</v>
      </c>
      <c r="H173" s="2">
        <v>0.8</v>
      </c>
      <c r="I173">
        <v>1364.24</v>
      </c>
      <c r="J173">
        <v>1</v>
      </c>
      <c r="K173" s="2">
        <v>8.3100000000000007E-2</v>
      </c>
    </row>
    <row r="174" spans="1:11" x14ac:dyDescent="0.3">
      <c r="A174" t="s">
        <v>28</v>
      </c>
      <c r="B174" t="s">
        <v>41</v>
      </c>
      <c r="C174" s="1">
        <v>45474</v>
      </c>
      <c r="D174">
        <v>71</v>
      </c>
      <c r="E174">
        <v>7</v>
      </c>
      <c r="F174">
        <v>78.53</v>
      </c>
      <c r="G174">
        <v>4</v>
      </c>
      <c r="H174" s="2">
        <v>0.5714285714285714</v>
      </c>
      <c r="I174">
        <v>3652.64</v>
      </c>
      <c r="J174">
        <v>3</v>
      </c>
      <c r="K174" s="2">
        <v>8.6999999999999994E-2</v>
      </c>
    </row>
    <row r="175" spans="1:11" x14ac:dyDescent="0.3">
      <c r="A175" t="s">
        <v>29</v>
      </c>
      <c r="B175" t="s">
        <v>41</v>
      </c>
      <c r="C175" s="1">
        <v>45474</v>
      </c>
      <c r="D175">
        <v>24</v>
      </c>
      <c r="E175">
        <v>13</v>
      </c>
      <c r="F175">
        <v>471.72</v>
      </c>
      <c r="G175">
        <v>7</v>
      </c>
      <c r="H175" s="2">
        <v>0.53846153846153844</v>
      </c>
      <c r="I175">
        <v>3588.89</v>
      </c>
      <c r="J175">
        <v>2</v>
      </c>
      <c r="K175" s="2">
        <v>3.5400000000000001E-2</v>
      </c>
    </row>
    <row r="176" spans="1:11" x14ac:dyDescent="0.3">
      <c r="A176" t="s">
        <v>30</v>
      </c>
      <c r="B176" t="s">
        <v>41</v>
      </c>
      <c r="C176" s="1">
        <v>45474</v>
      </c>
      <c r="D176">
        <v>75</v>
      </c>
      <c r="E176">
        <v>17</v>
      </c>
      <c r="F176">
        <v>176.07</v>
      </c>
      <c r="G176">
        <v>5</v>
      </c>
      <c r="H176" s="2">
        <v>0.29411764705882354</v>
      </c>
      <c r="I176">
        <v>458.18</v>
      </c>
      <c r="J176">
        <v>1</v>
      </c>
      <c r="K176" s="2">
        <v>9.9399999999999988E-2</v>
      </c>
    </row>
    <row r="177" spans="1:11" x14ac:dyDescent="0.3">
      <c r="A177" t="s">
        <v>31</v>
      </c>
      <c r="B177" t="s">
        <v>41</v>
      </c>
      <c r="C177" s="1">
        <v>45474</v>
      </c>
      <c r="D177">
        <v>76</v>
      </c>
      <c r="E177">
        <v>11</v>
      </c>
      <c r="F177">
        <v>486.93</v>
      </c>
      <c r="G177">
        <v>0</v>
      </c>
      <c r="H177" s="2">
        <v>0</v>
      </c>
      <c r="I177">
        <v>1219.29</v>
      </c>
      <c r="J177">
        <v>3</v>
      </c>
      <c r="K177" s="2">
        <v>1E-3</v>
      </c>
    </row>
    <row r="178" spans="1:11" x14ac:dyDescent="0.3">
      <c r="A178" t="s">
        <v>32</v>
      </c>
      <c r="B178" t="s">
        <v>41</v>
      </c>
      <c r="C178" s="1">
        <v>45474</v>
      </c>
      <c r="D178">
        <v>20</v>
      </c>
      <c r="E178">
        <v>14</v>
      </c>
      <c r="F178">
        <v>283.66000000000003</v>
      </c>
      <c r="G178">
        <v>2</v>
      </c>
      <c r="H178" s="2">
        <v>0.14285714285714285</v>
      </c>
      <c r="I178">
        <v>1494.14</v>
      </c>
      <c r="J178">
        <v>2</v>
      </c>
      <c r="K178" s="2">
        <v>5.7800000000000004E-2</v>
      </c>
    </row>
    <row r="179" spans="1:11" x14ac:dyDescent="0.3">
      <c r="A179" t="s">
        <v>33</v>
      </c>
      <c r="B179" t="s">
        <v>41</v>
      </c>
      <c r="C179" s="1">
        <v>45474</v>
      </c>
      <c r="D179">
        <v>79</v>
      </c>
      <c r="E179">
        <v>6</v>
      </c>
      <c r="F179">
        <v>536.04999999999995</v>
      </c>
      <c r="G179">
        <v>1</v>
      </c>
      <c r="H179" s="2">
        <v>0.16666666666666666</v>
      </c>
      <c r="I179">
        <v>3682.29</v>
      </c>
      <c r="J179">
        <v>1</v>
      </c>
      <c r="K179" s="2">
        <v>3.2099999999999997E-2</v>
      </c>
    </row>
    <row r="180" spans="1:11" x14ac:dyDescent="0.3">
      <c r="A180" t="s">
        <v>34</v>
      </c>
      <c r="B180" t="s">
        <v>41</v>
      </c>
      <c r="C180" s="1">
        <v>45474</v>
      </c>
      <c r="D180">
        <v>82</v>
      </c>
      <c r="E180">
        <v>9</v>
      </c>
      <c r="F180">
        <v>171.86</v>
      </c>
      <c r="G180">
        <v>7</v>
      </c>
      <c r="H180" s="2">
        <v>0.77777777777777779</v>
      </c>
      <c r="I180">
        <v>506.88</v>
      </c>
      <c r="J180">
        <v>3</v>
      </c>
      <c r="K180" s="2">
        <v>9.4100000000000003E-2</v>
      </c>
    </row>
    <row r="181" spans="1:11" x14ac:dyDescent="0.3">
      <c r="A181" t="s">
        <v>35</v>
      </c>
      <c r="B181" t="s">
        <v>41</v>
      </c>
      <c r="C181" s="1">
        <v>45474</v>
      </c>
      <c r="D181">
        <v>103</v>
      </c>
      <c r="E181">
        <v>15</v>
      </c>
      <c r="F181">
        <v>359.16</v>
      </c>
      <c r="G181">
        <v>1</v>
      </c>
      <c r="H181" s="2">
        <v>6.6666666666666666E-2</v>
      </c>
      <c r="I181">
        <v>2949.94</v>
      </c>
      <c r="J181">
        <v>2</v>
      </c>
      <c r="K181" s="2">
        <v>2.3599999999999999E-2</v>
      </c>
    </row>
    <row r="182" spans="1:11" x14ac:dyDescent="0.3">
      <c r="A182" t="s">
        <v>37</v>
      </c>
      <c r="B182" t="s">
        <v>41</v>
      </c>
      <c r="C182" s="1">
        <v>45474</v>
      </c>
      <c r="D182">
        <v>41</v>
      </c>
      <c r="E182">
        <v>9</v>
      </c>
      <c r="F182">
        <v>569.97</v>
      </c>
      <c r="G182">
        <v>5</v>
      </c>
      <c r="H182" s="2">
        <v>0.55555555555555558</v>
      </c>
      <c r="I182">
        <v>259.86</v>
      </c>
      <c r="J182">
        <v>1</v>
      </c>
      <c r="K182" s="2">
        <v>6.3299999999999995E-2</v>
      </c>
    </row>
    <row r="183" spans="1:11" x14ac:dyDescent="0.3">
      <c r="A183" t="s">
        <v>38</v>
      </c>
      <c r="B183" t="s">
        <v>41</v>
      </c>
      <c r="C183" s="1">
        <v>45474</v>
      </c>
      <c r="D183">
        <v>38</v>
      </c>
      <c r="E183">
        <v>14</v>
      </c>
      <c r="F183">
        <v>359.22</v>
      </c>
      <c r="G183">
        <v>8</v>
      </c>
      <c r="H183" s="2">
        <v>0.5714285714285714</v>
      </c>
      <c r="I183">
        <v>3846.34</v>
      </c>
      <c r="J183">
        <v>3</v>
      </c>
      <c r="K183" s="2">
        <v>8.5900000000000004E-2</v>
      </c>
    </row>
    <row r="184" spans="1:11" x14ac:dyDescent="0.3">
      <c r="A184" t="s">
        <v>11</v>
      </c>
      <c r="B184" t="s">
        <v>41</v>
      </c>
      <c r="C184" s="1">
        <v>45505</v>
      </c>
      <c r="D184">
        <v>71</v>
      </c>
      <c r="E184">
        <v>15</v>
      </c>
      <c r="F184">
        <v>297.05</v>
      </c>
      <c r="G184">
        <v>6</v>
      </c>
      <c r="H184" s="2">
        <v>0.4</v>
      </c>
      <c r="I184">
        <v>4043.62</v>
      </c>
      <c r="J184">
        <v>2</v>
      </c>
      <c r="K184" s="2">
        <v>2.7200000000000002E-2</v>
      </c>
    </row>
    <row r="185" spans="1:11" x14ac:dyDescent="0.3">
      <c r="A185" t="s">
        <v>13</v>
      </c>
      <c r="B185" t="s">
        <v>41</v>
      </c>
      <c r="C185" s="1">
        <v>45505</v>
      </c>
      <c r="D185">
        <v>66</v>
      </c>
      <c r="E185">
        <v>13</v>
      </c>
      <c r="F185">
        <v>376.76</v>
      </c>
      <c r="G185">
        <v>5</v>
      </c>
      <c r="H185" s="2">
        <v>0.38461538461538464</v>
      </c>
      <c r="I185">
        <v>3819.73</v>
      </c>
      <c r="J185">
        <v>1</v>
      </c>
      <c r="K185" s="2">
        <v>4.4900000000000002E-2</v>
      </c>
    </row>
    <row r="186" spans="1:11" x14ac:dyDescent="0.3">
      <c r="A186" t="s">
        <v>14</v>
      </c>
      <c r="B186" t="s">
        <v>41</v>
      </c>
      <c r="C186" s="1">
        <v>45505</v>
      </c>
      <c r="D186">
        <v>53</v>
      </c>
      <c r="E186">
        <v>15</v>
      </c>
      <c r="F186">
        <v>379.29</v>
      </c>
      <c r="G186">
        <v>2</v>
      </c>
      <c r="H186" s="2">
        <v>0.13333333333333333</v>
      </c>
      <c r="I186">
        <v>3409.69</v>
      </c>
      <c r="J186">
        <v>1</v>
      </c>
      <c r="K186" s="2">
        <v>4.41E-2</v>
      </c>
    </row>
    <row r="187" spans="1:11" x14ac:dyDescent="0.3">
      <c r="A187" t="s">
        <v>15</v>
      </c>
      <c r="B187" t="s">
        <v>41</v>
      </c>
      <c r="C187" s="1">
        <v>45505</v>
      </c>
      <c r="D187">
        <v>18</v>
      </c>
      <c r="E187">
        <v>8</v>
      </c>
      <c r="F187">
        <v>82.91</v>
      </c>
      <c r="G187">
        <v>3</v>
      </c>
      <c r="H187" s="2">
        <v>0.375</v>
      </c>
      <c r="I187">
        <v>1387.86</v>
      </c>
      <c r="J187">
        <v>3</v>
      </c>
      <c r="K187" s="2">
        <v>3.0099999999999998E-2</v>
      </c>
    </row>
    <row r="188" spans="1:11" x14ac:dyDescent="0.3">
      <c r="A188" t="s">
        <v>16</v>
      </c>
      <c r="B188" t="s">
        <v>41</v>
      </c>
      <c r="C188" s="1">
        <v>45505</v>
      </c>
      <c r="D188">
        <v>72</v>
      </c>
      <c r="E188">
        <v>14</v>
      </c>
      <c r="F188">
        <v>437.47</v>
      </c>
      <c r="G188">
        <v>4</v>
      </c>
      <c r="H188" s="2">
        <v>0.2857142857142857</v>
      </c>
      <c r="I188">
        <v>958.02</v>
      </c>
      <c r="J188">
        <v>2</v>
      </c>
      <c r="K188" s="2">
        <v>3.9100000000000003E-2</v>
      </c>
    </row>
    <row r="189" spans="1:11" x14ac:dyDescent="0.3">
      <c r="A189" t="s">
        <v>17</v>
      </c>
      <c r="B189" t="s">
        <v>41</v>
      </c>
      <c r="C189" s="1">
        <v>45505</v>
      </c>
      <c r="D189">
        <v>64</v>
      </c>
      <c r="E189">
        <v>7</v>
      </c>
      <c r="F189">
        <v>554.20000000000005</v>
      </c>
      <c r="G189">
        <v>2</v>
      </c>
      <c r="H189" s="2">
        <v>0.2857142857142857</v>
      </c>
      <c r="I189">
        <v>3620.9</v>
      </c>
      <c r="J189">
        <v>1</v>
      </c>
      <c r="K189" s="2">
        <v>1.23E-2</v>
      </c>
    </row>
    <row r="190" spans="1:11" x14ac:dyDescent="0.3">
      <c r="A190" t="s">
        <v>18</v>
      </c>
      <c r="B190" t="s">
        <v>41</v>
      </c>
      <c r="C190" s="1">
        <v>45505</v>
      </c>
      <c r="D190">
        <v>76</v>
      </c>
      <c r="E190">
        <v>21</v>
      </c>
      <c r="F190">
        <v>293.93</v>
      </c>
      <c r="G190">
        <v>2</v>
      </c>
      <c r="H190" s="2">
        <v>9.5238095238095233E-2</v>
      </c>
      <c r="I190">
        <v>2531.4</v>
      </c>
      <c r="J190">
        <v>3</v>
      </c>
      <c r="K190" s="2">
        <v>0.1012</v>
      </c>
    </row>
    <row r="191" spans="1:11" x14ac:dyDescent="0.3">
      <c r="A191" t="s">
        <v>19</v>
      </c>
      <c r="B191" t="s">
        <v>41</v>
      </c>
      <c r="C191" s="1">
        <v>45505</v>
      </c>
      <c r="D191">
        <v>64</v>
      </c>
      <c r="E191">
        <v>9</v>
      </c>
      <c r="F191">
        <v>255.17</v>
      </c>
      <c r="G191">
        <v>6</v>
      </c>
      <c r="H191" s="2">
        <v>0.66666666666666663</v>
      </c>
      <c r="I191">
        <v>4136.6899999999996</v>
      </c>
      <c r="J191">
        <v>2</v>
      </c>
      <c r="K191" s="2">
        <v>3.8199999999999998E-2</v>
      </c>
    </row>
    <row r="192" spans="1:11" x14ac:dyDescent="0.3">
      <c r="A192" t="s">
        <v>20</v>
      </c>
      <c r="B192" t="s">
        <v>41</v>
      </c>
      <c r="C192" s="1">
        <v>45505</v>
      </c>
      <c r="D192">
        <v>26</v>
      </c>
      <c r="E192">
        <v>17</v>
      </c>
      <c r="F192">
        <v>391.73</v>
      </c>
      <c r="G192">
        <v>7</v>
      </c>
      <c r="H192" s="2">
        <v>0.41176470588235292</v>
      </c>
      <c r="I192">
        <v>1166.55</v>
      </c>
      <c r="J192">
        <v>1</v>
      </c>
      <c r="K192" s="2">
        <v>6.1200000000000004E-2</v>
      </c>
    </row>
    <row r="193" spans="1:11" x14ac:dyDescent="0.3">
      <c r="A193" t="s">
        <v>21</v>
      </c>
      <c r="B193" t="s">
        <v>41</v>
      </c>
      <c r="C193" s="1">
        <v>45505</v>
      </c>
      <c r="D193">
        <v>65</v>
      </c>
      <c r="E193">
        <v>13</v>
      </c>
      <c r="F193">
        <v>324.26</v>
      </c>
      <c r="G193">
        <v>7</v>
      </c>
      <c r="H193" s="2">
        <v>0.53846153846153844</v>
      </c>
      <c r="I193">
        <v>1044.8599999999999</v>
      </c>
      <c r="J193">
        <v>3</v>
      </c>
      <c r="K193" s="2">
        <v>3.5200000000000002E-2</v>
      </c>
    </row>
    <row r="194" spans="1:11" x14ac:dyDescent="0.3">
      <c r="A194" t="s">
        <v>22</v>
      </c>
      <c r="B194" t="s">
        <v>41</v>
      </c>
      <c r="C194" s="1">
        <v>45505</v>
      </c>
      <c r="D194">
        <v>22</v>
      </c>
      <c r="E194">
        <v>9</v>
      </c>
      <c r="F194">
        <v>211.28</v>
      </c>
      <c r="G194">
        <v>8</v>
      </c>
      <c r="H194" s="2">
        <v>0.88888888888888884</v>
      </c>
      <c r="I194">
        <v>772.77</v>
      </c>
      <c r="J194">
        <v>2</v>
      </c>
      <c r="K194" s="2">
        <v>8.0600000000000005E-2</v>
      </c>
    </row>
    <row r="195" spans="1:11" x14ac:dyDescent="0.3">
      <c r="A195" t="s">
        <v>23</v>
      </c>
      <c r="B195" t="s">
        <v>41</v>
      </c>
      <c r="C195" s="1">
        <v>45505</v>
      </c>
      <c r="D195">
        <v>30</v>
      </c>
      <c r="E195">
        <v>6</v>
      </c>
      <c r="F195">
        <v>549.26</v>
      </c>
      <c r="G195">
        <v>2</v>
      </c>
      <c r="H195" s="2">
        <v>0.33333333333333331</v>
      </c>
      <c r="I195">
        <v>3868.36</v>
      </c>
      <c r="J195">
        <v>1</v>
      </c>
      <c r="K195" s="2">
        <v>4.2800000000000005E-2</v>
      </c>
    </row>
    <row r="196" spans="1:11" x14ac:dyDescent="0.3">
      <c r="A196" t="s">
        <v>24</v>
      </c>
      <c r="B196" t="s">
        <v>41</v>
      </c>
      <c r="C196" s="1">
        <v>45505</v>
      </c>
      <c r="D196">
        <v>83</v>
      </c>
      <c r="E196">
        <v>15</v>
      </c>
      <c r="F196">
        <v>601.05999999999995</v>
      </c>
      <c r="G196">
        <v>3</v>
      </c>
      <c r="H196" s="2">
        <v>0.2</v>
      </c>
      <c r="I196">
        <v>350.62</v>
      </c>
      <c r="J196">
        <v>3</v>
      </c>
      <c r="K196" s="2">
        <v>3.6600000000000001E-2</v>
      </c>
    </row>
    <row r="197" spans="1:11" x14ac:dyDescent="0.3">
      <c r="A197" t="s">
        <v>25</v>
      </c>
      <c r="B197" t="s">
        <v>41</v>
      </c>
      <c r="C197" s="1">
        <v>45505</v>
      </c>
      <c r="D197">
        <v>35</v>
      </c>
      <c r="E197">
        <v>6</v>
      </c>
      <c r="F197">
        <v>192.19</v>
      </c>
      <c r="G197">
        <v>1</v>
      </c>
      <c r="H197" s="2">
        <v>0.16666666666666666</v>
      </c>
      <c r="I197">
        <v>3963.32</v>
      </c>
      <c r="J197">
        <v>2</v>
      </c>
      <c r="K197" s="2">
        <v>3.9800000000000002E-2</v>
      </c>
    </row>
    <row r="198" spans="1:11" x14ac:dyDescent="0.3">
      <c r="A198" t="s">
        <v>26</v>
      </c>
      <c r="B198" t="s">
        <v>41</v>
      </c>
      <c r="C198" s="1">
        <v>45505</v>
      </c>
      <c r="D198">
        <v>73</v>
      </c>
      <c r="E198">
        <v>8</v>
      </c>
      <c r="F198">
        <v>191.76</v>
      </c>
      <c r="G198">
        <v>3</v>
      </c>
      <c r="H198" s="2">
        <v>0.375</v>
      </c>
      <c r="I198">
        <v>675.97</v>
      </c>
      <c r="J198">
        <v>3</v>
      </c>
      <c r="K198" s="2">
        <v>3.0200000000000001E-2</v>
      </c>
    </row>
    <row r="199" spans="1:11" x14ac:dyDescent="0.3">
      <c r="A199" t="s">
        <v>27</v>
      </c>
      <c r="B199" t="s">
        <v>41</v>
      </c>
      <c r="C199" s="1">
        <v>45505</v>
      </c>
      <c r="D199">
        <v>104</v>
      </c>
      <c r="E199">
        <v>4</v>
      </c>
      <c r="F199">
        <v>169.75</v>
      </c>
      <c r="G199">
        <v>3</v>
      </c>
      <c r="H199" s="2">
        <v>0.75</v>
      </c>
      <c r="I199">
        <v>1255.83</v>
      </c>
      <c r="J199">
        <v>2</v>
      </c>
      <c r="K199" s="2">
        <v>7.7600000000000002E-2</v>
      </c>
    </row>
    <row r="200" spans="1:11" x14ac:dyDescent="0.3">
      <c r="A200" t="s">
        <v>28</v>
      </c>
      <c r="B200" t="s">
        <v>41</v>
      </c>
      <c r="C200" s="1">
        <v>45505</v>
      </c>
      <c r="D200">
        <v>71</v>
      </c>
      <c r="E200">
        <v>6</v>
      </c>
      <c r="F200">
        <v>87.5</v>
      </c>
      <c r="G200">
        <v>3</v>
      </c>
      <c r="H200" s="2">
        <v>0.5</v>
      </c>
      <c r="I200">
        <v>3666.64</v>
      </c>
      <c r="J200">
        <v>1</v>
      </c>
      <c r="K200" s="2">
        <v>9.1300000000000006E-2</v>
      </c>
    </row>
    <row r="201" spans="1:11" x14ac:dyDescent="0.3">
      <c r="A201" t="s">
        <v>29</v>
      </c>
      <c r="B201" t="s">
        <v>41</v>
      </c>
      <c r="C201" s="1">
        <v>45505</v>
      </c>
      <c r="D201">
        <v>22</v>
      </c>
      <c r="E201">
        <v>14</v>
      </c>
      <c r="F201">
        <v>477.3</v>
      </c>
      <c r="G201">
        <v>6</v>
      </c>
      <c r="H201" s="2">
        <v>0.42857142857142855</v>
      </c>
      <c r="I201">
        <v>3790.05</v>
      </c>
      <c r="J201">
        <v>3</v>
      </c>
      <c r="K201" s="2">
        <v>3.32E-2</v>
      </c>
    </row>
    <row r="202" spans="1:11" x14ac:dyDescent="0.3">
      <c r="A202" t="s">
        <v>30</v>
      </c>
      <c r="B202" t="s">
        <v>41</v>
      </c>
      <c r="C202" s="1">
        <v>45505</v>
      </c>
      <c r="D202">
        <v>85</v>
      </c>
      <c r="E202">
        <v>17</v>
      </c>
      <c r="F202">
        <v>187.72</v>
      </c>
      <c r="G202">
        <v>5</v>
      </c>
      <c r="H202" s="2">
        <v>0.29411764705882354</v>
      </c>
      <c r="I202">
        <v>443.22</v>
      </c>
      <c r="J202">
        <v>2</v>
      </c>
      <c r="K202" s="2">
        <v>0.1016</v>
      </c>
    </row>
    <row r="203" spans="1:11" x14ac:dyDescent="0.3">
      <c r="A203" t="s">
        <v>31</v>
      </c>
      <c r="B203" t="s">
        <v>41</v>
      </c>
      <c r="C203" s="1">
        <v>45505</v>
      </c>
      <c r="D203">
        <v>80</v>
      </c>
      <c r="E203">
        <v>13</v>
      </c>
      <c r="F203">
        <v>504.59</v>
      </c>
      <c r="G203">
        <v>0</v>
      </c>
      <c r="H203" s="2">
        <v>0</v>
      </c>
      <c r="I203">
        <v>1265.47</v>
      </c>
      <c r="J203">
        <v>1</v>
      </c>
      <c r="K203" s="2">
        <v>1E-3</v>
      </c>
    </row>
    <row r="204" spans="1:11" x14ac:dyDescent="0.3">
      <c r="A204" t="s">
        <v>32</v>
      </c>
      <c r="B204" t="s">
        <v>41</v>
      </c>
      <c r="C204" s="1">
        <v>45505</v>
      </c>
      <c r="D204">
        <v>18</v>
      </c>
      <c r="E204">
        <v>12</v>
      </c>
      <c r="F204">
        <v>262.26</v>
      </c>
      <c r="G204">
        <v>1</v>
      </c>
      <c r="H204" s="2">
        <v>8.3333333333333329E-2</v>
      </c>
      <c r="I204">
        <v>1573.7</v>
      </c>
      <c r="J204">
        <v>3</v>
      </c>
      <c r="K204" s="2">
        <v>5.1299999999999998E-2</v>
      </c>
    </row>
    <row r="205" spans="1:11" x14ac:dyDescent="0.3">
      <c r="A205" t="s">
        <v>33</v>
      </c>
      <c r="B205" t="s">
        <v>41</v>
      </c>
      <c r="C205" s="1">
        <v>45505</v>
      </c>
      <c r="D205">
        <v>106</v>
      </c>
      <c r="E205">
        <v>6</v>
      </c>
      <c r="F205">
        <v>572.16</v>
      </c>
      <c r="G205">
        <v>2</v>
      </c>
      <c r="H205" s="2">
        <v>0.33333333333333331</v>
      </c>
      <c r="I205">
        <v>3398.37</v>
      </c>
      <c r="J205">
        <v>2</v>
      </c>
      <c r="K205" s="2">
        <v>2.87E-2</v>
      </c>
    </row>
    <row r="206" spans="1:11" x14ac:dyDescent="0.3">
      <c r="A206" t="s">
        <v>34</v>
      </c>
      <c r="B206" t="s">
        <v>41</v>
      </c>
      <c r="C206" s="1">
        <v>45505</v>
      </c>
      <c r="D206">
        <v>71</v>
      </c>
      <c r="E206">
        <v>9</v>
      </c>
      <c r="F206">
        <v>172.96</v>
      </c>
      <c r="G206">
        <v>6</v>
      </c>
      <c r="H206" s="2">
        <v>0.66666666666666663</v>
      </c>
      <c r="I206">
        <v>464.49</v>
      </c>
      <c r="J206">
        <v>1</v>
      </c>
      <c r="K206" s="2">
        <v>8.2699999999999996E-2</v>
      </c>
    </row>
    <row r="207" spans="1:11" x14ac:dyDescent="0.3">
      <c r="A207" t="s">
        <v>35</v>
      </c>
      <c r="B207" t="s">
        <v>41</v>
      </c>
      <c r="C207" s="1">
        <v>45505</v>
      </c>
      <c r="D207">
        <v>115</v>
      </c>
      <c r="E207">
        <v>17</v>
      </c>
      <c r="F207">
        <v>422.48</v>
      </c>
      <c r="G207">
        <v>0</v>
      </c>
      <c r="H207" s="2">
        <v>0</v>
      </c>
      <c r="I207">
        <v>2681.51</v>
      </c>
      <c r="J207">
        <v>3</v>
      </c>
      <c r="K207" s="2">
        <v>2.5000000000000001E-2</v>
      </c>
    </row>
    <row r="208" spans="1:11" x14ac:dyDescent="0.3">
      <c r="A208" t="s">
        <v>37</v>
      </c>
      <c r="B208" t="s">
        <v>41</v>
      </c>
      <c r="C208" s="1">
        <v>45505</v>
      </c>
      <c r="D208">
        <v>34</v>
      </c>
      <c r="E208">
        <v>10</v>
      </c>
      <c r="F208">
        <v>565.11</v>
      </c>
      <c r="G208">
        <v>5</v>
      </c>
      <c r="H208" s="2">
        <v>0.5</v>
      </c>
      <c r="I208">
        <v>222.62</v>
      </c>
      <c r="J208">
        <v>2</v>
      </c>
      <c r="K208" s="2">
        <v>7.1800000000000003E-2</v>
      </c>
    </row>
    <row r="209" spans="1:11" x14ac:dyDescent="0.3">
      <c r="A209" t="s">
        <v>38</v>
      </c>
      <c r="B209" t="s">
        <v>41</v>
      </c>
      <c r="C209" s="1">
        <v>45505</v>
      </c>
      <c r="D209">
        <v>40</v>
      </c>
      <c r="E209">
        <v>17</v>
      </c>
      <c r="F209">
        <v>355.83</v>
      </c>
      <c r="G209">
        <v>6</v>
      </c>
      <c r="H209" s="2">
        <v>0.35294117647058826</v>
      </c>
      <c r="I209">
        <v>4155.8599999999997</v>
      </c>
      <c r="J209">
        <v>1</v>
      </c>
      <c r="K209" s="2">
        <v>8.8000000000000009E-2</v>
      </c>
    </row>
    <row r="210" spans="1:11" x14ac:dyDescent="0.3">
      <c r="A210" t="s">
        <v>11</v>
      </c>
      <c r="B210" t="s">
        <v>41</v>
      </c>
      <c r="C210" s="1">
        <v>45536</v>
      </c>
      <c r="D210">
        <v>51</v>
      </c>
      <c r="E210">
        <v>15</v>
      </c>
      <c r="F210">
        <v>349.71</v>
      </c>
      <c r="G210">
        <v>8</v>
      </c>
      <c r="H210" s="2">
        <v>0.53333333333333333</v>
      </c>
      <c r="I210">
        <v>4017.54</v>
      </c>
      <c r="J210">
        <v>1</v>
      </c>
      <c r="K210" s="2">
        <v>2.92E-2</v>
      </c>
    </row>
    <row r="211" spans="1:11" x14ac:dyDescent="0.3">
      <c r="A211" t="s">
        <v>13</v>
      </c>
      <c r="B211" t="s">
        <v>41</v>
      </c>
      <c r="C211" s="1">
        <v>45536</v>
      </c>
      <c r="D211">
        <v>79</v>
      </c>
      <c r="E211">
        <v>9</v>
      </c>
      <c r="F211">
        <v>358.67</v>
      </c>
      <c r="G211">
        <v>5</v>
      </c>
      <c r="H211" s="2">
        <v>0.55555555555555558</v>
      </c>
      <c r="I211">
        <v>3658.64</v>
      </c>
      <c r="J211">
        <v>3</v>
      </c>
      <c r="K211" s="2">
        <v>3.7499999999999999E-2</v>
      </c>
    </row>
    <row r="212" spans="1:11" x14ac:dyDescent="0.3">
      <c r="A212" t="s">
        <v>14</v>
      </c>
      <c r="B212" t="s">
        <v>41</v>
      </c>
      <c r="C212" s="1">
        <v>45536</v>
      </c>
      <c r="D212">
        <v>57</v>
      </c>
      <c r="E212">
        <v>18</v>
      </c>
      <c r="F212">
        <v>403.41</v>
      </c>
      <c r="G212">
        <v>3</v>
      </c>
      <c r="H212" s="2">
        <v>0.16666666666666666</v>
      </c>
      <c r="I212">
        <v>3767.63</v>
      </c>
      <c r="J212">
        <v>2</v>
      </c>
      <c r="K212" s="2">
        <v>4.24E-2</v>
      </c>
    </row>
    <row r="213" spans="1:11" x14ac:dyDescent="0.3">
      <c r="A213" t="s">
        <v>15</v>
      </c>
      <c r="B213" t="s">
        <v>41</v>
      </c>
      <c r="C213" s="1">
        <v>45536</v>
      </c>
      <c r="D213">
        <v>24</v>
      </c>
      <c r="E213">
        <v>7</v>
      </c>
      <c r="F213">
        <v>79.62</v>
      </c>
      <c r="G213">
        <v>4</v>
      </c>
      <c r="H213" s="2">
        <v>0.5714285714285714</v>
      </c>
      <c r="I213">
        <v>1650.69</v>
      </c>
      <c r="J213">
        <v>1</v>
      </c>
      <c r="K213" s="2">
        <v>3.0600000000000002E-2</v>
      </c>
    </row>
    <row r="214" spans="1:11" x14ac:dyDescent="0.3">
      <c r="A214" t="s">
        <v>16</v>
      </c>
      <c r="B214" t="s">
        <v>41</v>
      </c>
      <c r="C214" s="1">
        <v>45536</v>
      </c>
      <c r="D214">
        <v>77</v>
      </c>
      <c r="E214">
        <v>11</v>
      </c>
      <c r="F214">
        <v>487.47</v>
      </c>
      <c r="G214">
        <v>4</v>
      </c>
      <c r="H214" s="2">
        <v>0.36363636363636365</v>
      </c>
      <c r="I214">
        <v>990.89</v>
      </c>
      <c r="J214">
        <v>3</v>
      </c>
      <c r="K214" s="2">
        <v>4.3299999999999998E-2</v>
      </c>
    </row>
    <row r="215" spans="1:11" x14ac:dyDescent="0.3">
      <c r="A215" t="s">
        <v>17</v>
      </c>
      <c r="B215" t="s">
        <v>41</v>
      </c>
      <c r="C215" s="1">
        <v>45536</v>
      </c>
      <c r="D215">
        <v>69</v>
      </c>
      <c r="E215">
        <v>7</v>
      </c>
      <c r="F215">
        <v>549.77</v>
      </c>
      <c r="G215">
        <v>2</v>
      </c>
      <c r="H215" s="2">
        <v>0.2857142857142857</v>
      </c>
      <c r="I215">
        <v>3916.58</v>
      </c>
      <c r="J215">
        <v>2</v>
      </c>
      <c r="K215" s="2">
        <v>1.2E-2</v>
      </c>
    </row>
    <row r="216" spans="1:11" x14ac:dyDescent="0.3">
      <c r="A216" t="s">
        <v>18</v>
      </c>
      <c r="B216" t="s">
        <v>41</v>
      </c>
      <c r="C216" s="1">
        <v>45536</v>
      </c>
      <c r="D216">
        <v>74</v>
      </c>
      <c r="E216">
        <v>18</v>
      </c>
      <c r="F216">
        <v>306.89999999999998</v>
      </c>
      <c r="G216">
        <v>3</v>
      </c>
      <c r="H216" s="2">
        <v>0.16666666666666666</v>
      </c>
      <c r="I216">
        <v>2254.16</v>
      </c>
      <c r="J216">
        <v>1</v>
      </c>
      <c r="K216" s="2">
        <v>9.64E-2</v>
      </c>
    </row>
    <row r="217" spans="1:11" x14ac:dyDescent="0.3">
      <c r="A217" t="s">
        <v>19</v>
      </c>
      <c r="B217" t="s">
        <v>41</v>
      </c>
      <c r="C217" s="1">
        <v>45536</v>
      </c>
      <c r="D217">
        <v>57</v>
      </c>
      <c r="E217">
        <v>7</v>
      </c>
      <c r="F217">
        <v>262.27999999999997</v>
      </c>
      <c r="G217">
        <v>7</v>
      </c>
      <c r="H217" s="2">
        <v>1</v>
      </c>
      <c r="I217">
        <v>3929.11</v>
      </c>
      <c r="J217">
        <v>3</v>
      </c>
      <c r="K217" s="2">
        <v>4.4299999999999999E-2</v>
      </c>
    </row>
    <row r="218" spans="1:11" x14ac:dyDescent="0.3">
      <c r="A218" t="s">
        <v>20</v>
      </c>
      <c r="B218" t="s">
        <v>41</v>
      </c>
      <c r="C218" s="1">
        <v>45536</v>
      </c>
      <c r="D218">
        <v>26</v>
      </c>
      <c r="E218">
        <v>21</v>
      </c>
      <c r="F218">
        <v>359.51</v>
      </c>
      <c r="G218">
        <v>9</v>
      </c>
      <c r="H218" s="2">
        <v>0.42857142857142855</v>
      </c>
      <c r="I218">
        <v>1187.3699999999999</v>
      </c>
      <c r="J218">
        <v>2</v>
      </c>
      <c r="K218" s="2">
        <v>5.33E-2</v>
      </c>
    </row>
    <row r="219" spans="1:11" x14ac:dyDescent="0.3">
      <c r="A219" t="s">
        <v>21</v>
      </c>
      <c r="B219" t="s">
        <v>41</v>
      </c>
      <c r="C219" s="1">
        <v>45536</v>
      </c>
      <c r="D219">
        <v>76</v>
      </c>
      <c r="E219">
        <v>18</v>
      </c>
      <c r="F219">
        <v>339.1</v>
      </c>
      <c r="G219">
        <v>8</v>
      </c>
      <c r="H219" s="2">
        <v>0.44444444444444442</v>
      </c>
      <c r="I219">
        <v>924.79</v>
      </c>
      <c r="J219">
        <v>1</v>
      </c>
      <c r="K219" s="2">
        <v>3.6000000000000004E-2</v>
      </c>
    </row>
    <row r="220" spans="1:11" x14ac:dyDescent="0.3">
      <c r="A220" t="s">
        <v>22</v>
      </c>
      <c r="B220" t="s">
        <v>41</v>
      </c>
      <c r="C220" s="1">
        <v>45536</v>
      </c>
      <c r="D220">
        <v>22</v>
      </c>
      <c r="E220">
        <v>7</v>
      </c>
      <c r="F220">
        <v>182.47</v>
      </c>
      <c r="G220">
        <v>7</v>
      </c>
      <c r="H220" s="2">
        <v>1</v>
      </c>
      <c r="I220">
        <v>779.86</v>
      </c>
      <c r="J220">
        <v>3</v>
      </c>
      <c r="K220" s="2">
        <v>7.2700000000000001E-2</v>
      </c>
    </row>
    <row r="221" spans="1:11" x14ac:dyDescent="0.3">
      <c r="A221" t="s">
        <v>23</v>
      </c>
      <c r="B221" t="s">
        <v>41</v>
      </c>
      <c r="C221" s="1">
        <v>45536</v>
      </c>
      <c r="D221">
        <v>38</v>
      </c>
      <c r="E221">
        <v>6</v>
      </c>
      <c r="F221">
        <v>553.89</v>
      </c>
      <c r="G221">
        <v>6</v>
      </c>
      <c r="H221" s="2">
        <v>1</v>
      </c>
      <c r="I221">
        <v>4013.79</v>
      </c>
      <c r="J221">
        <v>2</v>
      </c>
      <c r="K221" s="2">
        <v>4.3200000000000002E-2</v>
      </c>
    </row>
    <row r="222" spans="1:11" x14ac:dyDescent="0.3">
      <c r="A222" t="s">
        <v>24</v>
      </c>
      <c r="B222" t="s">
        <v>41</v>
      </c>
      <c r="C222" s="1">
        <v>45536</v>
      </c>
      <c r="D222">
        <v>87</v>
      </c>
      <c r="E222">
        <v>21</v>
      </c>
      <c r="F222">
        <v>633.13</v>
      </c>
      <c r="G222">
        <v>2</v>
      </c>
      <c r="H222" s="2">
        <v>9.5238095238095233E-2</v>
      </c>
      <c r="I222">
        <v>336.22</v>
      </c>
      <c r="J222">
        <v>1</v>
      </c>
      <c r="K222" s="2">
        <v>3.4500000000000003E-2</v>
      </c>
    </row>
    <row r="223" spans="1:11" x14ac:dyDescent="0.3">
      <c r="A223" t="s">
        <v>25</v>
      </c>
      <c r="B223" t="s">
        <v>41</v>
      </c>
      <c r="C223" s="1">
        <v>45536</v>
      </c>
      <c r="D223">
        <v>37</v>
      </c>
      <c r="E223">
        <v>8</v>
      </c>
      <c r="F223">
        <v>215.09</v>
      </c>
      <c r="G223">
        <v>2</v>
      </c>
      <c r="H223" s="2">
        <v>0.25</v>
      </c>
      <c r="I223">
        <v>3424.83</v>
      </c>
      <c r="J223">
        <v>3</v>
      </c>
      <c r="K223" s="2">
        <v>4.07E-2</v>
      </c>
    </row>
    <row r="224" spans="1:11" x14ac:dyDescent="0.3">
      <c r="A224" t="s">
        <v>26</v>
      </c>
      <c r="B224" t="s">
        <v>41</v>
      </c>
      <c r="C224" s="1">
        <v>45536</v>
      </c>
      <c r="D224">
        <v>71</v>
      </c>
      <c r="E224">
        <v>8</v>
      </c>
      <c r="F224">
        <v>199.19</v>
      </c>
      <c r="G224">
        <v>2</v>
      </c>
      <c r="H224" s="2">
        <v>0.25</v>
      </c>
      <c r="I224">
        <v>635.24</v>
      </c>
      <c r="J224">
        <v>2</v>
      </c>
      <c r="K224" s="2">
        <v>2.9500000000000002E-2</v>
      </c>
    </row>
    <row r="225" spans="1:11" x14ac:dyDescent="0.3">
      <c r="A225" t="s">
        <v>27</v>
      </c>
      <c r="B225" t="s">
        <v>41</v>
      </c>
      <c r="C225" s="1">
        <v>45536</v>
      </c>
      <c r="D225">
        <v>81</v>
      </c>
      <c r="E225">
        <v>5</v>
      </c>
      <c r="F225">
        <v>153.5</v>
      </c>
      <c r="G225">
        <v>2</v>
      </c>
      <c r="H225" s="2">
        <v>0.4</v>
      </c>
      <c r="I225">
        <v>1307.47</v>
      </c>
      <c r="J225">
        <v>1</v>
      </c>
      <c r="K225" s="2">
        <v>7.3300000000000004E-2</v>
      </c>
    </row>
    <row r="226" spans="1:11" x14ac:dyDescent="0.3">
      <c r="A226" t="s">
        <v>28</v>
      </c>
      <c r="B226" t="s">
        <v>41</v>
      </c>
      <c r="C226" s="1">
        <v>45536</v>
      </c>
      <c r="D226">
        <v>93</v>
      </c>
      <c r="E226">
        <v>5</v>
      </c>
      <c r="F226">
        <v>77.12</v>
      </c>
      <c r="G226">
        <v>2</v>
      </c>
      <c r="H226" s="2">
        <v>0.4</v>
      </c>
      <c r="I226">
        <v>3483.91</v>
      </c>
      <c r="J226">
        <v>3</v>
      </c>
      <c r="K226" s="2">
        <v>9.9000000000000005E-2</v>
      </c>
    </row>
    <row r="227" spans="1:11" x14ac:dyDescent="0.3">
      <c r="A227" t="s">
        <v>29</v>
      </c>
      <c r="B227" t="s">
        <v>41</v>
      </c>
      <c r="C227" s="1">
        <v>45536</v>
      </c>
      <c r="D227">
        <v>21</v>
      </c>
      <c r="E227">
        <v>17</v>
      </c>
      <c r="F227">
        <v>533.41999999999996</v>
      </c>
      <c r="G227">
        <v>7</v>
      </c>
      <c r="H227" s="2">
        <v>0.41176470588235292</v>
      </c>
      <c r="I227">
        <v>3895.32</v>
      </c>
      <c r="J227">
        <v>2</v>
      </c>
      <c r="K227" s="2">
        <v>3.4000000000000002E-2</v>
      </c>
    </row>
    <row r="228" spans="1:11" x14ac:dyDescent="0.3">
      <c r="A228" t="s">
        <v>30</v>
      </c>
      <c r="B228" t="s">
        <v>41</v>
      </c>
      <c r="C228" s="1">
        <v>45536</v>
      </c>
      <c r="D228">
        <v>86</v>
      </c>
      <c r="E228">
        <v>17</v>
      </c>
      <c r="F228">
        <v>160.88999999999999</v>
      </c>
      <c r="G228">
        <v>4</v>
      </c>
      <c r="H228" s="2">
        <v>0.23529411764705882</v>
      </c>
      <c r="I228">
        <v>418.33</v>
      </c>
      <c r="J228">
        <v>1</v>
      </c>
      <c r="K228" s="2">
        <v>8.8100000000000012E-2</v>
      </c>
    </row>
    <row r="229" spans="1:11" x14ac:dyDescent="0.3">
      <c r="A229" t="s">
        <v>31</v>
      </c>
      <c r="B229" t="s">
        <v>41</v>
      </c>
      <c r="C229" s="1">
        <v>45536</v>
      </c>
      <c r="D229">
        <v>72</v>
      </c>
      <c r="E229">
        <v>11</v>
      </c>
      <c r="F229">
        <v>459.86</v>
      </c>
      <c r="G229">
        <v>0</v>
      </c>
      <c r="H229" s="2">
        <v>0</v>
      </c>
      <c r="I229">
        <v>1269.5999999999999</v>
      </c>
      <c r="J229">
        <v>3</v>
      </c>
      <c r="K229" s="2">
        <v>1E-3</v>
      </c>
    </row>
    <row r="230" spans="1:11" x14ac:dyDescent="0.3">
      <c r="A230" t="s">
        <v>32</v>
      </c>
      <c r="B230" t="s">
        <v>41</v>
      </c>
      <c r="C230" s="1">
        <v>45536</v>
      </c>
      <c r="D230">
        <v>18</v>
      </c>
      <c r="E230">
        <v>13</v>
      </c>
      <c r="F230">
        <v>290.14</v>
      </c>
      <c r="G230">
        <v>2</v>
      </c>
      <c r="H230" s="2">
        <v>0.15384615384615385</v>
      </c>
      <c r="I230">
        <v>1444.65</v>
      </c>
      <c r="J230">
        <v>2</v>
      </c>
      <c r="K230" s="2">
        <v>5.4699999999999999E-2</v>
      </c>
    </row>
    <row r="231" spans="1:11" x14ac:dyDescent="0.3">
      <c r="A231" t="s">
        <v>33</v>
      </c>
      <c r="B231" t="s">
        <v>41</v>
      </c>
      <c r="C231" s="1">
        <v>45536</v>
      </c>
      <c r="D231">
        <v>105</v>
      </c>
      <c r="E231">
        <v>7</v>
      </c>
      <c r="F231">
        <v>587.83000000000004</v>
      </c>
      <c r="G231">
        <v>1</v>
      </c>
      <c r="H231" s="2">
        <v>0.14285714285714285</v>
      </c>
      <c r="I231">
        <v>3601.93</v>
      </c>
      <c r="J231">
        <v>1</v>
      </c>
      <c r="K231" s="2">
        <v>3.2199999999999999E-2</v>
      </c>
    </row>
    <row r="232" spans="1:11" x14ac:dyDescent="0.3">
      <c r="A232" t="s">
        <v>34</v>
      </c>
      <c r="B232" t="s">
        <v>41</v>
      </c>
      <c r="C232" s="1">
        <v>45536</v>
      </c>
      <c r="D232">
        <v>75</v>
      </c>
      <c r="E232">
        <v>8</v>
      </c>
      <c r="F232">
        <v>177.88</v>
      </c>
      <c r="G232">
        <v>7</v>
      </c>
      <c r="H232" s="2">
        <v>0.875</v>
      </c>
      <c r="I232">
        <v>507.1</v>
      </c>
      <c r="J232">
        <v>3</v>
      </c>
      <c r="K232" s="2">
        <v>9.5199999999999993E-2</v>
      </c>
    </row>
    <row r="233" spans="1:11" x14ac:dyDescent="0.3">
      <c r="A233" t="s">
        <v>35</v>
      </c>
      <c r="B233" t="s">
        <v>41</v>
      </c>
      <c r="C233" s="1">
        <v>45536</v>
      </c>
      <c r="D233">
        <v>98</v>
      </c>
      <c r="E233">
        <v>12</v>
      </c>
      <c r="F233">
        <v>406.95</v>
      </c>
      <c r="G233">
        <v>0</v>
      </c>
      <c r="H233" s="2">
        <v>0</v>
      </c>
      <c r="I233">
        <v>2978.09</v>
      </c>
      <c r="J233">
        <v>2</v>
      </c>
      <c r="K233" s="2">
        <v>2.3700000000000002E-2</v>
      </c>
    </row>
    <row r="234" spans="1:11" x14ac:dyDescent="0.3">
      <c r="A234" t="s">
        <v>37</v>
      </c>
      <c r="B234" t="s">
        <v>41</v>
      </c>
      <c r="C234" s="1">
        <v>45536</v>
      </c>
      <c r="D234">
        <v>33</v>
      </c>
      <c r="E234">
        <v>13</v>
      </c>
      <c r="F234">
        <v>517.1</v>
      </c>
      <c r="G234">
        <v>4</v>
      </c>
      <c r="H234" s="2">
        <v>0.30769230769230771</v>
      </c>
      <c r="I234">
        <v>250.08</v>
      </c>
      <c r="J234">
        <v>1</v>
      </c>
      <c r="K234" s="2">
        <v>6.5299999999999997E-2</v>
      </c>
    </row>
    <row r="235" spans="1:11" x14ac:dyDescent="0.3">
      <c r="A235" t="s">
        <v>38</v>
      </c>
      <c r="B235" t="s">
        <v>41</v>
      </c>
      <c r="C235" s="1">
        <v>45536</v>
      </c>
      <c r="D235">
        <v>35</v>
      </c>
      <c r="E235">
        <v>18</v>
      </c>
      <c r="F235">
        <v>348.92</v>
      </c>
      <c r="G235">
        <v>7</v>
      </c>
      <c r="H235" s="2">
        <v>0.3888888888888889</v>
      </c>
      <c r="I235">
        <v>4381.3900000000003</v>
      </c>
      <c r="J235">
        <v>1</v>
      </c>
      <c r="K235" s="2">
        <v>8.8599999999999998E-2</v>
      </c>
    </row>
    <row r="236" spans="1:11" x14ac:dyDescent="0.3">
      <c r="A236" t="s">
        <v>11</v>
      </c>
      <c r="B236" t="s">
        <v>41</v>
      </c>
      <c r="C236" s="1">
        <v>45566</v>
      </c>
      <c r="D236">
        <v>74</v>
      </c>
      <c r="E236">
        <v>16</v>
      </c>
      <c r="F236">
        <v>308.51</v>
      </c>
      <c r="G236">
        <v>7</v>
      </c>
      <c r="H236" s="2">
        <v>0.4375</v>
      </c>
      <c r="I236">
        <v>4267.5</v>
      </c>
      <c r="J236">
        <v>3</v>
      </c>
      <c r="K236" s="2">
        <v>2.9399999999999999E-2</v>
      </c>
    </row>
    <row r="237" spans="1:11" x14ac:dyDescent="0.3">
      <c r="A237" t="s">
        <v>13</v>
      </c>
      <c r="B237" t="s">
        <v>41</v>
      </c>
      <c r="C237" s="1">
        <v>45566</v>
      </c>
      <c r="D237">
        <v>72</v>
      </c>
      <c r="E237">
        <v>10</v>
      </c>
      <c r="F237">
        <v>362.58</v>
      </c>
      <c r="G237">
        <v>5</v>
      </c>
      <c r="H237" s="2">
        <v>0.5</v>
      </c>
      <c r="I237">
        <v>3679.65</v>
      </c>
      <c r="J237">
        <v>2</v>
      </c>
      <c r="K237" s="2">
        <v>3.8599999999999995E-2</v>
      </c>
    </row>
    <row r="238" spans="1:11" x14ac:dyDescent="0.3">
      <c r="A238" t="s">
        <v>14</v>
      </c>
      <c r="B238" t="s">
        <v>41</v>
      </c>
      <c r="C238" s="1">
        <v>45566</v>
      </c>
      <c r="D238">
        <v>58</v>
      </c>
      <c r="E238">
        <v>13</v>
      </c>
      <c r="F238">
        <v>368.06</v>
      </c>
      <c r="G238">
        <v>2</v>
      </c>
      <c r="H238" s="2">
        <v>0.15384615384615385</v>
      </c>
      <c r="I238">
        <v>3626.22</v>
      </c>
      <c r="J238">
        <v>1</v>
      </c>
      <c r="K238" s="2">
        <v>4.1399999999999999E-2</v>
      </c>
    </row>
    <row r="239" spans="1:11" x14ac:dyDescent="0.3">
      <c r="A239" t="s">
        <v>15</v>
      </c>
      <c r="B239" t="s">
        <v>41</v>
      </c>
      <c r="C239" s="1">
        <v>45566</v>
      </c>
      <c r="D239">
        <v>22</v>
      </c>
      <c r="E239">
        <v>7</v>
      </c>
      <c r="F239">
        <v>74.680000000000007</v>
      </c>
      <c r="G239">
        <v>4</v>
      </c>
      <c r="H239" s="2">
        <v>0.5714285714285714</v>
      </c>
      <c r="I239">
        <v>1543.72</v>
      </c>
      <c r="J239">
        <v>3</v>
      </c>
      <c r="K239" s="2">
        <v>2.75E-2</v>
      </c>
    </row>
    <row r="240" spans="1:11" x14ac:dyDescent="0.3">
      <c r="A240" t="s">
        <v>16</v>
      </c>
      <c r="B240" t="s">
        <v>41</v>
      </c>
      <c r="C240" s="1">
        <v>45566</v>
      </c>
      <c r="D240">
        <v>74</v>
      </c>
      <c r="E240">
        <v>15</v>
      </c>
      <c r="F240">
        <v>460.2</v>
      </c>
      <c r="G240">
        <v>4</v>
      </c>
      <c r="H240" s="2">
        <v>0.26666666666666666</v>
      </c>
      <c r="I240">
        <v>980.1</v>
      </c>
      <c r="J240">
        <v>2</v>
      </c>
      <c r="K240" s="2">
        <v>3.7900000000000003E-2</v>
      </c>
    </row>
    <row r="241" spans="1:11" x14ac:dyDescent="0.3">
      <c r="A241" t="s">
        <v>17</v>
      </c>
      <c r="B241" t="s">
        <v>41</v>
      </c>
      <c r="C241" s="1">
        <v>45566</v>
      </c>
      <c r="D241">
        <v>62</v>
      </c>
      <c r="E241">
        <v>8</v>
      </c>
      <c r="F241">
        <v>540.79999999999995</v>
      </c>
      <c r="G241">
        <v>3</v>
      </c>
      <c r="H241" s="2">
        <v>0.375</v>
      </c>
      <c r="I241">
        <v>3928.71</v>
      </c>
      <c r="J241">
        <v>1</v>
      </c>
      <c r="K241" s="2">
        <v>1.09E-2</v>
      </c>
    </row>
    <row r="242" spans="1:11" x14ac:dyDescent="0.3">
      <c r="A242" t="s">
        <v>18</v>
      </c>
      <c r="B242" t="s">
        <v>41</v>
      </c>
      <c r="C242" s="1">
        <v>45566</v>
      </c>
      <c r="D242">
        <v>70</v>
      </c>
      <c r="E242">
        <v>21</v>
      </c>
      <c r="F242">
        <v>319.62</v>
      </c>
      <c r="G242">
        <v>3</v>
      </c>
      <c r="H242" s="2">
        <v>0.14285714285714285</v>
      </c>
      <c r="I242">
        <v>2486.2199999999998</v>
      </c>
      <c r="J242">
        <v>3</v>
      </c>
      <c r="K242" s="2">
        <v>0.1036</v>
      </c>
    </row>
    <row r="243" spans="1:11" x14ac:dyDescent="0.3">
      <c r="A243" t="s">
        <v>19</v>
      </c>
      <c r="B243" t="s">
        <v>41</v>
      </c>
      <c r="C243" s="1">
        <v>45566</v>
      </c>
      <c r="D243">
        <v>51</v>
      </c>
      <c r="E243">
        <v>7</v>
      </c>
      <c r="F243">
        <v>248.37</v>
      </c>
      <c r="G243">
        <v>7</v>
      </c>
      <c r="H243" s="2">
        <v>1</v>
      </c>
      <c r="I243">
        <v>3946.23</v>
      </c>
      <c r="J243">
        <v>2</v>
      </c>
      <c r="K243" s="2">
        <v>4.2699999999999995E-2</v>
      </c>
    </row>
    <row r="244" spans="1:11" x14ac:dyDescent="0.3">
      <c r="A244" t="s">
        <v>20</v>
      </c>
      <c r="B244" t="s">
        <v>41</v>
      </c>
      <c r="C244" s="1">
        <v>45566</v>
      </c>
      <c r="D244">
        <v>32</v>
      </c>
      <c r="E244">
        <v>16</v>
      </c>
      <c r="F244">
        <v>393.04</v>
      </c>
      <c r="G244">
        <v>7</v>
      </c>
      <c r="H244" s="2">
        <v>0.4375</v>
      </c>
      <c r="I244">
        <v>1286.18</v>
      </c>
      <c r="J244">
        <v>1</v>
      </c>
      <c r="K244" s="2">
        <v>5.6399999999999999E-2</v>
      </c>
    </row>
    <row r="245" spans="1:11" x14ac:dyDescent="0.3">
      <c r="A245" t="s">
        <v>21</v>
      </c>
      <c r="B245" t="s">
        <v>41</v>
      </c>
      <c r="C245" s="1">
        <v>45566</v>
      </c>
      <c r="D245">
        <v>71</v>
      </c>
      <c r="E245">
        <v>16</v>
      </c>
      <c r="F245">
        <v>323.56</v>
      </c>
      <c r="G245">
        <v>9</v>
      </c>
      <c r="H245" s="2">
        <v>0.5625</v>
      </c>
      <c r="I245">
        <v>957.05</v>
      </c>
      <c r="J245">
        <v>3</v>
      </c>
      <c r="K245" s="2">
        <v>3.1099999999999999E-2</v>
      </c>
    </row>
    <row r="246" spans="1:11" x14ac:dyDescent="0.3">
      <c r="A246" t="s">
        <v>22</v>
      </c>
      <c r="B246" t="s">
        <v>41</v>
      </c>
      <c r="C246" s="1">
        <v>45566</v>
      </c>
      <c r="D246">
        <v>17</v>
      </c>
      <c r="E246">
        <v>7</v>
      </c>
      <c r="F246">
        <v>205.3</v>
      </c>
      <c r="G246">
        <v>4</v>
      </c>
      <c r="H246" s="2">
        <v>0.5714285714285714</v>
      </c>
      <c r="I246">
        <v>762.2</v>
      </c>
      <c r="J246">
        <v>2</v>
      </c>
      <c r="K246" s="2">
        <v>7.2300000000000003E-2</v>
      </c>
    </row>
    <row r="247" spans="1:11" x14ac:dyDescent="0.3">
      <c r="A247" t="s">
        <v>23</v>
      </c>
      <c r="B247" t="s">
        <v>41</v>
      </c>
      <c r="C247" s="1">
        <v>45566</v>
      </c>
      <c r="D247">
        <v>35</v>
      </c>
      <c r="E247">
        <v>6</v>
      </c>
      <c r="F247">
        <v>544.78</v>
      </c>
      <c r="G247">
        <v>5</v>
      </c>
      <c r="H247" s="2">
        <v>0.83333333333333337</v>
      </c>
      <c r="I247">
        <v>3420.99</v>
      </c>
      <c r="J247">
        <v>3</v>
      </c>
      <c r="K247" s="2">
        <v>4.0500000000000001E-2</v>
      </c>
    </row>
    <row r="248" spans="1:11" x14ac:dyDescent="0.3">
      <c r="A248" t="s">
        <v>24</v>
      </c>
      <c r="B248" t="s">
        <v>41</v>
      </c>
      <c r="C248" s="1">
        <v>45566</v>
      </c>
      <c r="D248">
        <v>73</v>
      </c>
      <c r="E248">
        <v>17</v>
      </c>
      <c r="F248">
        <v>557.29999999999995</v>
      </c>
      <c r="G248">
        <v>3</v>
      </c>
      <c r="H248" s="2">
        <v>0.17647058823529413</v>
      </c>
      <c r="I248">
        <v>376.66</v>
      </c>
      <c r="J248">
        <v>2</v>
      </c>
      <c r="K248" s="2">
        <v>3.4700000000000002E-2</v>
      </c>
    </row>
    <row r="249" spans="1:11" x14ac:dyDescent="0.3">
      <c r="A249" t="s">
        <v>25</v>
      </c>
      <c r="B249" t="s">
        <v>41</v>
      </c>
      <c r="C249" s="1">
        <v>45566</v>
      </c>
      <c r="D249">
        <v>27</v>
      </c>
      <c r="E249">
        <v>6</v>
      </c>
      <c r="F249">
        <v>202.37</v>
      </c>
      <c r="G249">
        <v>1</v>
      </c>
      <c r="H249" s="2">
        <v>0.16666666666666666</v>
      </c>
      <c r="I249">
        <v>3781.81</v>
      </c>
      <c r="J249">
        <v>1</v>
      </c>
      <c r="K249" s="2">
        <v>4.3099999999999999E-2</v>
      </c>
    </row>
    <row r="250" spans="1:11" x14ac:dyDescent="0.3">
      <c r="A250" t="s">
        <v>26</v>
      </c>
      <c r="B250" t="s">
        <v>41</v>
      </c>
      <c r="C250" s="1">
        <v>45566</v>
      </c>
      <c r="D250">
        <v>49</v>
      </c>
      <c r="E250">
        <v>7</v>
      </c>
      <c r="F250">
        <v>204.14</v>
      </c>
      <c r="G250">
        <v>3</v>
      </c>
      <c r="H250" s="2">
        <v>0.42857142857142855</v>
      </c>
      <c r="I250">
        <v>636.65</v>
      </c>
      <c r="J250">
        <v>3</v>
      </c>
      <c r="K250" s="2">
        <v>2.9500000000000002E-2</v>
      </c>
    </row>
    <row r="251" spans="1:11" x14ac:dyDescent="0.3">
      <c r="A251" t="s">
        <v>27</v>
      </c>
      <c r="B251" t="s">
        <v>41</v>
      </c>
      <c r="C251" s="1">
        <v>45566</v>
      </c>
      <c r="D251">
        <v>106</v>
      </c>
      <c r="E251">
        <v>5</v>
      </c>
      <c r="F251">
        <v>163.38</v>
      </c>
      <c r="G251">
        <v>1</v>
      </c>
      <c r="H251" s="2">
        <v>0.2</v>
      </c>
      <c r="I251">
        <v>1148.1400000000001</v>
      </c>
      <c r="J251">
        <v>2</v>
      </c>
      <c r="K251" s="2">
        <v>7.8799999999999995E-2</v>
      </c>
    </row>
    <row r="252" spans="1:11" x14ac:dyDescent="0.3">
      <c r="A252" t="s">
        <v>28</v>
      </c>
      <c r="B252" t="s">
        <v>41</v>
      </c>
      <c r="C252" s="1">
        <v>45566</v>
      </c>
      <c r="D252">
        <v>102</v>
      </c>
      <c r="E252">
        <v>5</v>
      </c>
      <c r="F252">
        <v>86.37</v>
      </c>
      <c r="G252">
        <v>5</v>
      </c>
      <c r="H252" s="2">
        <v>1</v>
      </c>
      <c r="I252">
        <v>3851.19</v>
      </c>
      <c r="J252">
        <v>1</v>
      </c>
      <c r="K252" s="2">
        <v>8.3800000000000013E-2</v>
      </c>
    </row>
    <row r="253" spans="1:11" x14ac:dyDescent="0.3">
      <c r="A253" t="s">
        <v>29</v>
      </c>
      <c r="B253" t="s">
        <v>41</v>
      </c>
      <c r="C253" s="1">
        <v>45566</v>
      </c>
      <c r="D253">
        <v>21</v>
      </c>
      <c r="E253">
        <v>14</v>
      </c>
      <c r="F253">
        <v>537.36</v>
      </c>
      <c r="G253">
        <v>7</v>
      </c>
      <c r="H253" s="2">
        <v>0.5</v>
      </c>
      <c r="I253">
        <v>3767.78</v>
      </c>
      <c r="J253">
        <v>3</v>
      </c>
      <c r="K253" s="2">
        <v>3.44E-2</v>
      </c>
    </row>
    <row r="254" spans="1:11" x14ac:dyDescent="0.3">
      <c r="A254" t="s">
        <v>30</v>
      </c>
      <c r="B254" t="s">
        <v>41</v>
      </c>
      <c r="C254" s="1">
        <v>45566</v>
      </c>
      <c r="D254">
        <v>104</v>
      </c>
      <c r="E254">
        <v>20</v>
      </c>
      <c r="F254">
        <v>181.9</v>
      </c>
      <c r="G254">
        <v>4</v>
      </c>
      <c r="H254" s="2">
        <v>0.2</v>
      </c>
      <c r="I254">
        <v>400.92</v>
      </c>
      <c r="J254">
        <v>2</v>
      </c>
      <c r="K254" s="2">
        <v>0.10009999999999999</v>
      </c>
    </row>
    <row r="255" spans="1:11" x14ac:dyDescent="0.3">
      <c r="A255" t="s">
        <v>31</v>
      </c>
      <c r="B255" t="s">
        <v>41</v>
      </c>
      <c r="C255" s="1">
        <v>45566</v>
      </c>
      <c r="D255">
        <v>64</v>
      </c>
      <c r="E255">
        <v>15</v>
      </c>
      <c r="F255">
        <v>514.38</v>
      </c>
      <c r="G255">
        <v>0</v>
      </c>
      <c r="H255" s="2">
        <v>0</v>
      </c>
      <c r="I255">
        <v>1220.5899999999999</v>
      </c>
      <c r="J255">
        <v>1</v>
      </c>
      <c r="K255" s="2">
        <v>1E-3</v>
      </c>
    </row>
    <row r="256" spans="1:11" x14ac:dyDescent="0.3">
      <c r="A256" t="s">
        <v>32</v>
      </c>
      <c r="B256" t="s">
        <v>41</v>
      </c>
      <c r="C256" s="1">
        <v>45566</v>
      </c>
      <c r="D256">
        <v>21</v>
      </c>
      <c r="E256">
        <v>15</v>
      </c>
      <c r="F256">
        <v>309.75</v>
      </c>
      <c r="G256">
        <v>2</v>
      </c>
      <c r="H256" s="2">
        <v>0.13333333333333333</v>
      </c>
      <c r="I256">
        <v>1649.09</v>
      </c>
      <c r="J256">
        <v>3</v>
      </c>
      <c r="K256" s="2">
        <v>5.0999999999999997E-2</v>
      </c>
    </row>
    <row r="257" spans="1:11" x14ac:dyDescent="0.3">
      <c r="A257" t="s">
        <v>33</v>
      </c>
      <c r="B257" t="s">
        <v>41</v>
      </c>
      <c r="C257" s="1">
        <v>45566</v>
      </c>
      <c r="D257">
        <v>108</v>
      </c>
      <c r="E257">
        <v>6</v>
      </c>
      <c r="F257">
        <v>515.27</v>
      </c>
      <c r="G257">
        <v>2</v>
      </c>
      <c r="H257" s="2">
        <v>0.33333333333333331</v>
      </c>
      <c r="I257">
        <v>3183.87</v>
      </c>
      <c r="J257">
        <v>2</v>
      </c>
      <c r="K257" s="2">
        <v>3.04E-2</v>
      </c>
    </row>
    <row r="258" spans="1:11" x14ac:dyDescent="0.3">
      <c r="A258" t="s">
        <v>34</v>
      </c>
      <c r="B258" t="s">
        <v>41</v>
      </c>
      <c r="C258" s="1">
        <v>45566</v>
      </c>
      <c r="D258">
        <v>63</v>
      </c>
      <c r="E258">
        <v>10</v>
      </c>
      <c r="F258">
        <v>194.21</v>
      </c>
      <c r="G258">
        <v>7</v>
      </c>
      <c r="H258" s="2">
        <v>0.7</v>
      </c>
      <c r="I258">
        <v>508.84</v>
      </c>
      <c r="J258">
        <v>1</v>
      </c>
      <c r="K258" s="2">
        <v>9.3900000000000011E-2</v>
      </c>
    </row>
    <row r="259" spans="1:11" x14ac:dyDescent="0.3">
      <c r="A259" t="s">
        <v>35</v>
      </c>
      <c r="B259" t="s">
        <v>41</v>
      </c>
      <c r="C259" s="1">
        <v>45566</v>
      </c>
      <c r="D259">
        <v>85</v>
      </c>
      <c r="E259">
        <v>15</v>
      </c>
      <c r="F259">
        <v>400.65</v>
      </c>
      <c r="G259">
        <v>0</v>
      </c>
      <c r="H259" s="2">
        <v>0</v>
      </c>
      <c r="I259">
        <v>2890.62</v>
      </c>
      <c r="J259">
        <v>1</v>
      </c>
      <c r="K259" s="2">
        <v>2.4700000000000003E-2</v>
      </c>
    </row>
    <row r="260" spans="1:11" x14ac:dyDescent="0.3">
      <c r="A260" t="s">
        <v>37</v>
      </c>
      <c r="B260" t="s">
        <v>41</v>
      </c>
      <c r="C260" s="1">
        <v>45566</v>
      </c>
      <c r="D260">
        <v>36</v>
      </c>
      <c r="E260">
        <v>10</v>
      </c>
      <c r="F260">
        <v>535.44000000000005</v>
      </c>
      <c r="G260">
        <v>4</v>
      </c>
      <c r="H260" s="2">
        <v>0.4</v>
      </c>
      <c r="I260">
        <v>241.26</v>
      </c>
      <c r="J260">
        <v>3</v>
      </c>
      <c r="K260" s="2">
        <v>6.3E-2</v>
      </c>
    </row>
    <row r="261" spans="1:11" x14ac:dyDescent="0.3">
      <c r="A261" t="s">
        <v>38</v>
      </c>
      <c r="B261" t="s">
        <v>41</v>
      </c>
      <c r="C261" s="1">
        <v>45566</v>
      </c>
      <c r="D261">
        <v>34</v>
      </c>
      <c r="E261">
        <v>12</v>
      </c>
      <c r="F261">
        <v>356.4</v>
      </c>
      <c r="G261">
        <v>8</v>
      </c>
      <c r="H261" s="2">
        <v>0.66666666666666663</v>
      </c>
      <c r="I261">
        <v>4111.76</v>
      </c>
      <c r="J261">
        <v>2</v>
      </c>
      <c r="K261" s="2">
        <v>8.4700000000000011E-2</v>
      </c>
    </row>
    <row r="262" spans="1:11" x14ac:dyDescent="0.3">
      <c r="A262" t="s">
        <v>11</v>
      </c>
      <c r="B262" t="s">
        <v>41</v>
      </c>
      <c r="C262" s="1">
        <v>45597</v>
      </c>
      <c r="D262">
        <v>67</v>
      </c>
      <c r="E262">
        <v>12</v>
      </c>
      <c r="F262">
        <v>352.6</v>
      </c>
      <c r="G262">
        <v>6</v>
      </c>
      <c r="H262" s="2">
        <v>0.5</v>
      </c>
      <c r="I262">
        <v>4402.41</v>
      </c>
      <c r="J262">
        <v>1</v>
      </c>
      <c r="K262" s="2">
        <v>2.8999999999999998E-2</v>
      </c>
    </row>
    <row r="263" spans="1:11" x14ac:dyDescent="0.3">
      <c r="A263" t="s">
        <v>13</v>
      </c>
      <c r="B263" t="s">
        <v>41</v>
      </c>
      <c r="C263" s="1">
        <v>45597</v>
      </c>
      <c r="D263">
        <v>76</v>
      </c>
      <c r="E263">
        <v>14</v>
      </c>
      <c r="F263">
        <v>351.42</v>
      </c>
      <c r="G263">
        <v>4</v>
      </c>
      <c r="H263" s="2">
        <v>0.2857142857142857</v>
      </c>
      <c r="I263">
        <v>3917.99</v>
      </c>
      <c r="J263">
        <v>3</v>
      </c>
      <c r="K263" s="2">
        <v>4.2999999999999997E-2</v>
      </c>
    </row>
    <row r="264" spans="1:11" x14ac:dyDescent="0.3">
      <c r="A264" t="s">
        <v>14</v>
      </c>
      <c r="B264" t="s">
        <v>41</v>
      </c>
      <c r="C264" s="1">
        <v>45597</v>
      </c>
      <c r="D264">
        <v>53</v>
      </c>
      <c r="E264">
        <v>17</v>
      </c>
      <c r="F264">
        <v>404.22</v>
      </c>
      <c r="G264">
        <v>2</v>
      </c>
      <c r="H264" s="2">
        <v>0.11764705882352941</v>
      </c>
      <c r="I264">
        <v>3669.4</v>
      </c>
      <c r="J264">
        <v>2</v>
      </c>
      <c r="K264" s="2">
        <v>4.4500000000000005E-2</v>
      </c>
    </row>
    <row r="265" spans="1:11" x14ac:dyDescent="0.3">
      <c r="A265" t="s">
        <v>15</v>
      </c>
      <c r="B265" t="s">
        <v>41</v>
      </c>
      <c r="C265" s="1">
        <v>45597</v>
      </c>
      <c r="D265">
        <v>22</v>
      </c>
      <c r="E265">
        <v>6</v>
      </c>
      <c r="F265">
        <v>80.02</v>
      </c>
      <c r="G265">
        <v>3</v>
      </c>
      <c r="H265" s="2">
        <v>0.5</v>
      </c>
      <c r="I265">
        <v>1476.69</v>
      </c>
      <c r="J265">
        <v>1</v>
      </c>
      <c r="K265" s="2">
        <v>2.9300000000000003E-2</v>
      </c>
    </row>
    <row r="266" spans="1:11" x14ac:dyDescent="0.3">
      <c r="A266" t="s">
        <v>16</v>
      </c>
      <c r="B266" t="s">
        <v>41</v>
      </c>
      <c r="C266" s="1">
        <v>45597</v>
      </c>
      <c r="D266">
        <v>77</v>
      </c>
      <c r="E266">
        <v>16</v>
      </c>
      <c r="F266">
        <v>502.41</v>
      </c>
      <c r="G266">
        <v>5</v>
      </c>
      <c r="H266" s="2">
        <v>0.3125</v>
      </c>
      <c r="I266">
        <v>1093.75</v>
      </c>
      <c r="J266">
        <v>3</v>
      </c>
      <c r="K266" s="2">
        <v>3.8399999999999997E-2</v>
      </c>
    </row>
    <row r="267" spans="1:11" x14ac:dyDescent="0.3">
      <c r="A267" t="s">
        <v>17</v>
      </c>
      <c r="B267" t="s">
        <v>41</v>
      </c>
      <c r="C267" s="1">
        <v>45597</v>
      </c>
      <c r="D267">
        <v>52</v>
      </c>
      <c r="E267">
        <v>6</v>
      </c>
      <c r="F267">
        <v>492.23</v>
      </c>
      <c r="G267">
        <v>2</v>
      </c>
      <c r="H267" s="2">
        <v>0.33333333333333331</v>
      </c>
      <c r="I267">
        <v>3775.84</v>
      </c>
      <c r="J267">
        <v>2</v>
      </c>
      <c r="K267" s="2">
        <v>1.1000000000000001E-2</v>
      </c>
    </row>
    <row r="268" spans="1:11" x14ac:dyDescent="0.3">
      <c r="A268" t="s">
        <v>18</v>
      </c>
      <c r="B268" t="s">
        <v>41</v>
      </c>
      <c r="C268" s="1">
        <v>45597</v>
      </c>
      <c r="D268">
        <v>74</v>
      </c>
      <c r="E268">
        <v>17</v>
      </c>
      <c r="F268">
        <v>284.91000000000003</v>
      </c>
      <c r="G268">
        <v>3</v>
      </c>
      <c r="H268" s="2">
        <v>0.17647058823529413</v>
      </c>
      <c r="I268">
        <v>2481.64</v>
      </c>
      <c r="J268">
        <v>1</v>
      </c>
      <c r="K268" s="2">
        <v>9.0500000000000011E-2</v>
      </c>
    </row>
    <row r="269" spans="1:11" x14ac:dyDescent="0.3">
      <c r="A269" t="s">
        <v>19</v>
      </c>
      <c r="B269" t="s">
        <v>41</v>
      </c>
      <c r="C269" s="1">
        <v>45597</v>
      </c>
      <c r="D269">
        <v>50</v>
      </c>
      <c r="E269">
        <v>9</v>
      </c>
      <c r="F269">
        <v>237.95</v>
      </c>
      <c r="G269">
        <v>5</v>
      </c>
      <c r="H269" s="2">
        <v>0.55555555555555558</v>
      </c>
      <c r="I269">
        <v>3982.36</v>
      </c>
      <c r="J269">
        <v>3</v>
      </c>
      <c r="K269" s="2">
        <v>4.4299999999999999E-2</v>
      </c>
    </row>
    <row r="270" spans="1:11" x14ac:dyDescent="0.3">
      <c r="A270" t="s">
        <v>20</v>
      </c>
      <c r="B270" t="s">
        <v>41</v>
      </c>
      <c r="C270" s="1">
        <v>45597</v>
      </c>
      <c r="D270">
        <v>30</v>
      </c>
      <c r="E270">
        <v>21</v>
      </c>
      <c r="F270">
        <v>372.34</v>
      </c>
      <c r="G270">
        <v>7</v>
      </c>
      <c r="H270" s="2">
        <v>0.33333333333333331</v>
      </c>
      <c r="I270">
        <v>1172.04</v>
      </c>
      <c r="J270">
        <v>2</v>
      </c>
      <c r="K270" s="2">
        <v>5.4800000000000001E-2</v>
      </c>
    </row>
    <row r="271" spans="1:11" x14ac:dyDescent="0.3">
      <c r="A271" t="s">
        <v>21</v>
      </c>
      <c r="B271" t="s">
        <v>41</v>
      </c>
      <c r="C271" s="1">
        <v>45597</v>
      </c>
      <c r="D271">
        <v>74</v>
      </c>
      <c r="E271">
        <v>13</v>
      </c>
      <c r="F271">
        <v>324.77999999999997</v>
      </c>
      <c r="G271">
        <v>7</v>
      </c>
      <c r="H271" s="2">
        <v>0.53846153846153844</v>
      </c>
      <c r="I271">
        <v>995.6</v>
      </c>
      <c r="J271">
        <v>1</v>
      </c>
      <c r="K271" s="2">
        <v>3.0699999999999998E-2</v>
      </c>
    </row>
    <row r="272" spans="1:11" x14ac:dyDescent="0.3">
      <c r="A272" t="s">
        <v>22</v>
      </c>
      <c r="B272" t="s">
        <v>41</v>
      </c>
      <c r="C272" s="1">
        <v>45597</v>
      </c>
      <c r="D272">
        <v>23</v>
      </c>
      <c r="E272">
        <v>7</v>
      </c>
      <c r="F272">
        <v>190.12</v>
      </c>
      <c r="G272">
        <v>4</v>
      </c>
      <c r="H272" s="2">
        <v>0.5714285714285714</v>
      </c>
      <c r="I272">
        <v>788.65</v>
      </c>
      <c r="J272">
        <v>3</v>
      </c>
      <c r="K272" s="2">
        <v>7.2000000000000008E-2</v>
      </c>
    </row>
    <row r="273" spans="1:11" x14ac:dyDescent="0.3">
      <c r="A273" t="s">
        <v>23</v>
      </c>
      <c r="B273" t="s">
        <v>41</v>
      </c>
      <c r="C273" s="1">
        <v>45597</v>
      </c>
      <c r="D273">
        <v>32</v>
      </c>
      <c r="E273">
        <v>7</v>
      </c>
      <c r="F273">
        <v>563.41999999999996</v>
      </c>
      <c r="G273">
        <v>6</v>
      </c>
      <c r="H273" s="2">
        <v>0.8571428571428571</v>
      </c>
      <c r="I273">
        <v>3543.71</v>
      </c>
      <c r="J273">
        <v>2</v>
      </c>
      <c r="K273" s="2">
        <v>4.3799999999999999E-2</v>
      </c>
    </row>
    <row r="274" spans="1:11" x14ac:dyDescent="0.3">
      <c r="A274" t="s">
        <v>24</v>
      </c>
      <c r="B274" t="s">
        <v>41</v>
      </c>
      <c r="C274" s="1">
        <v>45597</v>
      </c>
      <c r="D274">
        <v>59</v>
      </c>
      <c r="E274">
        <v>21</v>
      </c>
      <c r="F274">
        <v>633.37</v>
      </c>
      <c r="G274">
        <v>2</v>
      </c>
      <c r="H274" s="2">
        <v>9.5238095238095233E-2</v>
      </c>
      <c r="I274">
        <v>358.29</v>
      </c>
      <c r="J274">
        <v>1</v>
      </c>
      <c r="K274" s="2">
        <v>3.27E-2</v>
      </c>
    </row>
    <row r="275" spans="1:11" x14ac:dyDescent="0.3">
      <c r="A275" t="s">
        <v>25</v>
      </c>
      <c r="B275" t="s">
        <v>41</v>
      </c>
      <c r="C275" s="1">
        <v>45597</v>
      </c>
      <c r="D275">
        <v>30</v>
      </c>
      <c r="E275">
        <v>6</v>
      </c>
      <c r="F275">
        <v>209.84</v>
      </c>
      <c r="G275">
        <v>1</v>
      </c>
      <c r="H275" s="2">
        <v>0.16666666666666666</v>
      </c>
      <c r="I275">
        <v>3534.1</v>
      </c>
      <c r="J275">
        <v>3</v>
      </c>
      <c r="K275" s="2">
        <v>4.2000000000000003E-2</v>
      </c>
    </row>
    <row r="276" spans="1:11" x14ac:dyDescent="0.3">
      <c r="A276" t="s">
        <v>26</v>
      </c>
      <c r="B276" t="s">
        <v>41</v>
      </c>
      <c r="C276" s="1">
        <v>45597</v>
      </c>
      <c r="D276">
        <v>65</v>
      </c>
      <c r="E276">
        <v>9</v>
      </c>
      <c r="F276">
        <v>220.46</v>
      </c>
      <c r="G276">
        <v>3</v>
      </c>
      <c r="H276" s="2">
        <v>0.33333333333333331</v>
      </c>
      <c r="I276">
        <v>707.75</v>
      </c>
      <c r="J276">
        <v>2</v>
      </c>
      <c r="K276" s="2">
        <v>2.76E-2</v>
      </c>
    </row>
    <row r="277" spans="1:11" x14ac:dyDescent="0.3">
      <c r="A277" t="s">
        <v>27</v>
      </c>
      <c r="B277" t="s">
        <v>41</v>
      </c>
      <c r="C277" s="1">
        <v>45597</v>
      </c>
      <c r="D277">
        <v>100</v>
      </c>
      <c r="E277">
        <v>6</v>
      </c>
      <c r="F277">
        <v>153.34</v>
      </c>
      <c r="G277">
        <v>3</v>
      </c>
      <c r="H277" s="2">
        <v>0.5</v>
      </c>
      <c r="I277">
        <v>1248.54</v>
      </c>
      <c r="J277">
        <v>1</v>
      </c>
      <c r="K277" s="2">
        <v>7.9000000000000001E-2</v>
      </c>
    </row>
    <row r="278" spans="1:11" x14ac:dyDescent="0.3">
      <c r="A278" t="s">
        <v>28</v>
      </c>
      <c r="B278" t="s">
        <v>41</v>
      </c>
      <c r="C278" s="1">
        <v>45597</v>
      </c>
      <c r="D278">
        <v>81</v>
      </c>
      <c r="E278">
        <v>7</v>
      </c>
      <c r="F278">
        <v>79.62</v>
      </c>
      <c r="G278">
        <v>7</v>
      </c>
      <c r="H278" s="2">
        <v>1</v>
      </c>
      <c r="I278">
        <v>3892.76</v>
      </c>
      <c r="J278">
        <v>3</v>
      </c>
      <c r="K278" s="2">
        <v>9.74E-2</v>
      </c>
    </row>
    <row r="279" spans="1:11" x14ac:dyDescent="0.3">
      <c r="A279" t="s">
        <v>29</v>
      </c>
      <c r="B279" t="s">
        <v>41</v>
      </c>
      <c r="C279" s="1">
        <v>45597</v>
      </c>
      <c r="D279">
        <v>26</v>
      </c>
      <c r="E279">
        <v>17</v>
      </c>
      <c r="F279">
        <v>504.54</v>
      </c>
      <c r="G279">
        <v>8</v>
      </c>
      <c r="H279" s="2">
        <v>0.47058823529411764</v>
      </c>
      <c r="I279">
        <v>3359.77</v>
      </c>
      <c r="J279">
        <v>2</v>
      </c>
      <c r="K279" s="2">
        <v>3.2000000000000001E-2</v>
      </c>
    </row>
    <row r="280" spans="1:11" x14ac:dyDescent="0.3">
      <c r="A280" t="s">
        <v>30</v>
      </c>
      <c r="B280" t="s">
        <v>41</v>
      </c>
      <c r="C280" s="1">
        <v>45597</v>
      </c>
      <c r="D280">
        <v>96</v>
      </c>
      <c r="E280">
        <v>16</v>
      </c>
      <c r="F280">
        <v>161.69</v>
      </c>
      <c r="G280">
        <v>5</v>
      </c>
      <c r="H280" s="2">
        <v>0.3125</v>
      </c>
      <c r="I280">
        <v>392.05</v>
      </c>
      <c r="J280">
        <v>1</v>
      </c>
      <c r="K280" s="2">
        <v>9.5700000000000007E-2</v>
      </c>
    </row>
    <row r="281" spans="1:11" x14ac:dyDescent="0.3">
      <c r="A281" t="s">
        <v>31</v>
      </c>
      <c r="B281" t="s">
        <v>41</v>
      </c>
      <c r="C281" s="1">
        <v>45597</v>
      </c>
      <c r="D281">
        <v>72</v>
      </c>
      <c r="E281">
        <v>12</v>
      </c>
      <c r="F281">
        <v>474.28</v>
      </c>
      <c r="G281">
        <v>1</v>
      </c>
      <c r="H281" s="2">
        <v>8.3333333333333329E-2</v>
      </c>
      <c r="I281">
        <v>1097.5999999999999</v>
      </c>
      <c r="J281">
        <v>3</v>
      </c>
      <c r="K281" s="2">
        <v>1E-3</v>
      </c>
    </row>
    <row r="282" spans="1:11" x14ac:dyDescent="0.3">
      <c r="A282" t="s">
        <v>32</v>
      </c>
      <c r="B282" t="s">
        <v>41</v>
      </c>
      <c r="C282" s="1">
        <v>45597</v>
      </c>
      <c r="D282">
        <v>18</v>
      </c>
      <c r="E282">
        <v>15</v>
      </c>
      <c r="F282">
        <v>268.94</v>
      </c>
      <c r="G282">
        <v>1</v>
      </c>
      <c r="H282" s="2">
        <v>6.6666666666666666E-2</v>
      </c>
      <c r="I282">
        <v>1469.71</v>
      </c>
      <c r="J282">
        <v>2</v>
      </c>
      <c r="K282" s="2">
        <v>5.0900000000000001E-2</v>
      </c>
    </row>
    <row r="283" spans="1:11" x14ac:dyDescent="0.3">
      <c r="A283" t="s">
        <v>33</v>
      </c>
      <c r="B283" t="s">
        <v>41</v>
      </c>
      <c r="C283" s="1">
        <v>45597</v>
      </c>
      <c r="D283">
        <v>87</v>
      </c>
      <c r="E283">
        <v>5</v>
      </c>
      <c r="F283">
        <v>601.28</v>
      </c>
      <c r="G283">
        <v>2</v>
      </c>
      <c r="H283" s="2">
        <v>0.4</v>
      </c>
      <c r="I283">
        <v>3491.19</v>
      </c>
      <c r="J283">
        <v>1</v>
      </c>
      <c r="K283" s="2">
        <v>2.9700000000000001E-2</v>
      </c>
    </row>
    <row r="284" spans="1:11" x14ac:dyDescent="0.3">
      <c r="A284" t="s">
        <v>34</v>
      </c>
      <c r="B284" t="s">
        <v>41</v>
      </c>
      <c r="C284" s="1">
        <v>45597</v>
      </c>
      <c r="D284">
        <v>73</v>
      </c>
      <c r="E284">
        <v>8</v>
      </c>
      <c r="F284">
        <v>182.48</v>
      </c>
      <c r="G284">
        <v>8</v>
      </c>
      <c r="H284" s="2">
        <v>1</v>
      </c>
      <c r="I284">
        <v>548.46</v>
      </c>
      <c r="J284">
        <v>1</v>
      </c>
      <c r="K284" s="2">
        <v>8.8200000000000001E-2</v>
      </c>
    </row>
    <row r="285" spans="1:11" x14ac:dyDescent="0.3">
      <c r="A285" t="s">
        <v>35</v>
      </c>
      <c r="B285" t="s">
        <v>41</v>
      </c>
      <c r="C285" s="1">
        <v>45597</v>
      </c>
      <c r="D285">
        <v>97</v>
      </c>
      <c r="E285">
        <v>14</v>
      </c>
      <c r="F285">
        <v>368.16</v>
      </c>
      <c r="G285">
        <v>0</v>
      </c>
      <c r="H285" s="2">
        <v>0</v>
      </c>
      <c r="I285">
        <v>3020.19</v>
      </c>
      <c r="J285">
        <v>3</v>
      </c>
      <c r="K285" s="2">
        <v>2.5099999999999997E-2</v>
      </c>
    </row>
    <row r="286" spans="1:11" x14ac:dyDescent="0.3">
      <c r="A286" t="s">
        <v>37</v>
      </c>
      <c r="B286" t="s">
        <v>41</v>
      </c>
      <c r="C286" s="1">
        <v>45597</v>
      </c>
      <c r="D286">
        <v>28</v>
      </c>
      <c r="E286">
        <v>12</v>
      </c>
      <c r="F286">
        <v>565.51</v>
      </c>
      <c r="G286">
        <v>4</v>
      </c>
      <c r="H286" s="2">
        <v>0.33333333333333331</v>
      </c>
      <c r="I286">
        <v>231.16</v>
      </c>
      <c r="J286">
        <v>2</v>
      </c>
      <c r="K286" s="2">
        <v>6.2699999999999992E-2</v>
      </c>
    </row>
    <row r="287" spans="1:11" x14ac:dyDescent="0.3">
      <c r="A287" t="s">
        <v>38</v>
      </c>
      <c r="B287" t="s">
        <v>41</v>
      </c>
      <c r="C287" s="1">
        <v>45597</v>
      </c>
      <c r="D287">
        <v>41</v>
      </c>
      <c r="E287">
        <v>13</v>
      </c>
      <c r="F287">
        <v>370.44</v>
      </c>
      <c r="G287">
        <v>9</v>
      </c>
      <c r="H287" s="2">
        <v>0.69230769230769229</v>
      </c>
      <c r="I287">
        <v>4484.96</v>
      </c>
      <c r="J287">
        <v>1</v>
      </c>
      <c r="K287" s="2">
        <v>8.5199999999999998E-2</v>
      </c>
    </row>
    <row r="288" spans="1:11" x14ac:dyDescent="0.3">
      <c r="A288" t="s">
        <v>11</v>
      </c>
      <c r="B288" t="s">
        <v>41</v>
      </c>
      <c r="C288" s="1">
        <v>45627</v>
      </c>
      <c r="D288">
        <v>61</v>
      </c>
      <c r="E288">
        <v>13</v>
      </c>
      <c r="F288">
        <v>356.61</v>
      </c>
      <c r="G288">
        <v>7</v>
      </c>
      <c r="H288" s="2">
        <f t="shared" ref="H288:H313" si="0">G288/E288</f>
        <v>0.53846153846153844</v>
      </c>
      <c r="I288">
        <v>4099.6400000000003</v>
      </c>
      <c r="J288">
        <v>3</v>
      </c>
      <c r="K288" s="2">
        <v>2.9600000000000001E-2</v>
      </c>
    </row>
    <row r="289" spans="1:11" x14ac:dyDescent="0.3">
      <c r="A289" t="s">
        <v>13</v>
      </c>
      <c r="B289" t="s">
        <v>41</v>
      </c>
      <c r="C289" s="1">
        <v>45627</v>
      </c>
      <c r="D289">
        <v>80</v>
      </c>
      <c r="E289">
        <v>13</v>
      </c>
      <c r="F289">
        <v>369.46</v>
      </c>
      <c r="G289">
        <v>4</v>
      </c>
      <c r="H289" s="2">
        <f t="shared" si="0"/>
        <v>0.30769230769230771</v>
      </c>
      <c r="I289">
        <v>3996.04</v>
      </c>
      <c r="J289">
        <v>2</v>
      </c>
      <c r="K289" s="2">
        <v>3.7499999999999999E-2</v>
      </c>
    </row>
    <row r="290" spans="1:11" x14ac:dyDescent="0.3">
      <c r="A290" t="s">
        <v>14</v>
      </c>
      <c r="B290" t="s">
        <v>41</v>
      </c>
      <c r="C290" s="1">
        <v>45627</v>
      </c>
      <c r="D290">
        <v>51</v>
      </c>
      <c r="E290">
        <v>14</v>
      </c>
      <c r="F290">
        <v>419.93</v>
      </c>
      <c r="G290">
        <v>2</v>
      </c>
      <c r="H290" s="2">
        <f t="shared" si="0"/>
        <v>0.14285714285714285</v>
      </c>
      <c r="I290">
        <v>3543.6</v>
      </c>
      <c r="J290">
        <v>1</v>
      </c>
      <c r="K290" s="2">
        <v>4.6300000000000001E-2</v>
      </c>
    </row>
    <row r="291" spans="1:11" x14ac:dyDescent="0.3">
      <c r="A291" t="s">
        <v>15</v>
      </c>
      <c r="B291" t="s">
        <v>41</v>
      </c>
      <c r="C291" s="1">
        <v>45627</v>
      </c>
      <c r="D291">
        <v>20</v>
      </c>
      <c r="E291">
        <v>5</v>
      </c>
      <c r="F291">
        <v>71.41</v>
      </c>
      <c r="G291">
        <v>3</v>
      </c>
      <c r="H291" s="2">
        <f t="shared" si="0"/>
        <v>0.6</v>
      </c>
      <c r="I291">
        <v>1527.27</v>
      </c>
      <c r="J291">
        <v>3</v>
      </c>
      <c r="K291" s="2">
        <v>2.7000000000000003E-2</v>
      </c>
    </row>
    <row r="292" spans="1:11" x14ac:dyDescent="0.3">
      <c r="A292" t="s">
        <v>16</v>
      </c>
      <c r="B292" t="s">
        <v>41</v>
      </c>
      <c r="C292" s="1">
        <v>45627</v>
      </c>
      <c r="D292">
        <v>101</v>
      </c>
      <c r="E292">
        <v>14</v>
      </c>
      <c r="F292">
        <v>503.93</v>
      </c>
      <c r="G292">
        <v>5</v>
      </c>
      <c r="H292" s="2">
        <f t="shared" si="0"/>
        <v>0.35714285714285715</v>
      </c>
      <c r="I292">
        <v>1116.6099999999999</v>
      </c>
      <c r="J292">
        <v>2</v>
      </c>
      <c r="K292" s="2">
        <v>3.7000000000000005E-2</v>
      </c>
    </row>
    <row r="293" spans="1:11" x14ac:dyDescent="0.3">
      <c r="A293" t="s">
        <v>17</v>
      </c>
      <c r="B293" t="s">
        <v>41</v>
      </c>
      <c r="C293" s="1">
        <v>45627</v>
      </c>
      <c r="D293">
        <v>70</v>
      </c>
      <c r="E293">
        <v>6</v>
      </c>
      <c r="F293">
        <v>488.97</v>
      </c>
      <c r="G293">
        <v>3</v>
      </c>
      <c r="H293" s="2">
        <f t="shared" si="0"/>
        <v>0.5</v>
      </c>
      <c r="I293">
        <v>3767.09</v>
      </c>
      <c r="J293">
        <v>1</v>
      </c>
      <c r="K293" s="2">
        <v>1.0800000000000001E-2</v>
      </c>
    </row>
    <row r="294" spans="1:11" x14ac:dyDescent="0.3">
      <c r="A294" t="s">
        <v>18</v>
      </c>
      <c r="B294" t="s">
        <v>41</v>
      </c>
      <c r="C294" s="1">
        <v>45627</v>
      </c>
      <c r="D294">
        <v>84</v>
      </c>
      <c r="E294">
        <v>19</v>
      </c>
      <c r="F294">
        <v>301.2</v>
      </c>
      <c r="G294">
        <v>2</v>
      </c>
      <c r="H294" s="2">
        <f t="shared" si="0"/>
        <v>0.10526315789473684</v>
      </c>
      <c r="I294">
        <v>2608.4699999999998</v>
      </c>
      <c r="J294">
        <v>3</v>
      </c>
      <c r="K294" s="2">
        <v>0.1032</v>
      </c>
    </row>
    <row r="295" spans="1:11" x14ac:dyDescent="0.3">
      <c r="A295" t="s">
        <v>19</v>
      </c>
      <c r="B295" t="s">
        <v>41</v>
      </c>
      <c r="C295" s="1">
        <v>45627</v>
      </c>
      <c r="D295">
        <v>50</v>
      </c>
      <c r="E295">
        <v>6</v>
      </c>
      <c r="F295">
        <v>219.19</v>
      </c>
      <c r="G295">
        <v>4</v>
      </c>
      <c r="H295" s="2">
        <f t="shared" si="0"/>
        <v>0.66666666666666663</v>
      </c>
      <c r="I295">
        <v>3836.95</v>
      </c>
      <c r="J295">
        <v>2</v>
      </c>
      <c r="K295" s="2">
        <v>3.8699999999999998E-2</v>
      </c>
    </row>
    <row r="296" spans="1:11" x14ac:dyDescent="0.3">
      <c r="A296" t="s">
        <v>20</v>
      </c>
      <c r="B296" t="s">
        <v>41</v>
      </c>
      <c r="C296" s="1">
        <v>45627</v>
      </c>
      <c r="D296">
        <v>28</v>
      </c>
      <c r="E296">
        <v>19</v>
      </c>
      <c r="F296">
        <v>352.06</v>
      </c>
      <c r="G296">
        <v>9</v>
      </c>
      <c r="H296" s="2">
        <f t="shared" si="0"/>
        <v>0.47368421052631576</v>
      </c>
      <c r="I296">
        <v>1107.51</v>
      </c>
      <c r="J296">
        <v>3</v>
      </c>
      <c r="K296" s="2">
        <v>5.5E-2</v>
      </c>
    </row>
    <row r="297" spans="1:11" x14ac:dyDescent="0.3">
      <c r="A297" t="s">
        <v>21</v>
      </c>
      <c r="B297" t="s">
        <v>41</v>
      </c>
      <c r="C297" s="1">
        <v>45627</v>
      </c>
      <c r="D297">
        <v>69</v>
      </c>
      <c r="E297">
        <v>16</v>
      </c>
      <c r="F297">
        <v>337.7</v>
      </c>
      <c r="G297">
        <v>9</v>
      </c>
      <c r="H297" s="2">
        <f t="shared" si="0"/>
        <v>0.5625</v>
      </c>
      <c r="I297">
        <v>947.47</v>
      </c>
      <c r="J297">
        <v>2</v>
      </c>
      <c r="K297" s="2">
        <v>3.56E-2</v>
      </c>
    </row>
    <row r="298" spans="1:11" x14ac:dyDescent="0.3">
      <c r="A298" t="s">
        <v>22</v>
      </c>
      <c r="B298" t="s">
        <v>41</v>
      </c>
      <c r="C298" s="1">
        <v>45627</v>
      </c>
      <c r="D298">
        <v>18</v>
      </c>
      <c r="E298">
        <v>6</v>
      </c>
      <c r="F298">
        <v>212.39</v>
      </c>
      <c r="G298">
        <v>3</v>
      </c>
      <c r="H298" s="2">
        <f t="shared" si="0"/>
        <v>0.5</v>
      </c>
      <c r="I298">
        <v>730.81</v>
      </c>
      <c r="J298">
        <v>1</v>
      </c>
      <c r="K298" s="2">
        <v>8.6699999999999999E-2</v>
      </c>
    </row>
    <row r="299" spans="1:11" x14ac:dyDescent="0.3">
      <c r="A299" t="s">
        <v>23</v>
      </c>
      <c r="B299" t="s">
        <v>41</v>
      </c>
      <c r="C299" s="1">
        <v>45627</v>
      </c>
      <c r="D299">
        <v>40</v>
      </c>
      <c r="E299">
        <v>7</v>
      </c>
      <c r="F299">
        <v>486.93</v>
      </c>
      <c r="G299">
        <v>7</v>
      </c>
      <c r="H299" s="2">
        <f t="shared" si="0"/>
        <v>1</v>
      </c>
      <c r="I299">
        <v>3643.63</v>
      </c>
      <c r="J299">
        <v>3</v>
      </c>
      <c r="K299" s="2">
        <v>4.0199999999999993E-2</v>
      </c>
    </row>
    <row r="300" spans="1:11" x14ac:dyDescent="0.3">
      <c r="A300" t="s">
        <v>24</v>
      </c>
      <c r="B300" t="s">
        <v>41</v>
      </c>
      <c r="C300" s="1">
        <v>45627</v>
      </c>
      <c r="D300">
        <v>77</v>
      </c>
      <c r="E300">
        <v>16</v>
      </c>
      <c r="F300">
        <v>539.26</v>
      </c>
      <c r="G300">
        <v>3</v>
      </c>
      <c r="H300" s="2">
        <f t="shared" si="0"/>
        <v>0.1875</v>
      </c>
      <c r="I300">
        <v>379.83</v>
      </c>
      <c r="J300">
        <v>2</v>
      </c>
      <c r="K300" s="2">
        <v>3.7999999999999999E-2</v>
      </c>
    </row>
    <row r="301" spans="1:11" x14ac:dyDescent="0.3">
      <c r="A301" t="s">
        <v>25</v>
      </c>
      <c r="B301" t="s">
        <v>41</v>
      </c>
      <c r="C301" s="1">
        <v>45627</v>
      </c>
      <c r="D301">
        <v>31</v>
      </c>
      <c r="E301">
        <v>6</v>
      </c>
      <c r="F301">
        <v>191.66</v>
      </c>
      <c r="G301">
        <v>2</v>
      </c>
      <c r="H301" s="2">
        <f t="shared" si="0"/>
        <v>0.33333333333333331</v>
      </c>
      <c r="I301">
        <v>3753.06</v>
      </c>
      <c r="J301">
        <v>1</v>
      </c>
      <c r="K301" s="2">
        <v>3.8300000000000001E-2</v>
      </c>
    </row>
    <row r="302" spans="1:11" x14ac:dyDescent="0.3">
      <c r="A302" t="s">
        <v>26</v>
      </c>
      <c r="B302" t="s">
        <v>41</v>
      </c>
      <c r="C302" s="1">
        <v>45627</v>
      </c>
      <c r="D302">
        <v>57</v>
      </c>
      <c r="E302">
        <v>7</v>
      </c>
      <c r="F302">
        <v>190.08</v>
      </c>
      <c r="G302">
        <v>2</v>
      </c>
      <c r="H302" s="2">
        <f t="shared" si="0"/>
        <v>0.2857142857142857</v>
      </c>
      <c r="I302">
        <v>649.97</v>
      </c>
      <c r="J302">
        <v>3</v>
      </c>
      <c r="K302" s="2">
        <v>2.8799999999999999E-2</v>
      </c>
    </row>
    <row r="303" spans="1:11" x14ac:dyDescent="0.3">
      <c r="A303" t="s">
        <v>27</v>
      </c>
      <c r="B303" t="s">
        <v>41</v>
      </c>
      <c r="C303" s="1">
        <v>45627</v>
      </c>
      <c r="D303">
        <v>88</v>
      </c>
      <c r="E303">
        <v>5</v>
      </c>
      <c r="F303">
        <v>168.89</v>
      </c>
      <c r="G303">
        <v>3</v>
      </c>
      <c r="H303" s="2">
        <f t="shared" si="0"/>
        <v>0.6</v>
      </c>
      <c r="I303">
        <v>1153.93</v>
      </c>
      <c r="J303">
        <v>2</v>
      </c>
      <c r="K303" s="2">
        <v>8.2500000000000004E-2</v>
      </c>
    </row>
    <row r="304" spans="1:11" x14ac:dyDescent="0.3">
      <c r="A304" t="s">
        <v>28</v>
      </c>
      <c r="B304" t="s">
        <v>41</v>
      </c>
      <c r="C304" s="1">
        <v>45627</v>
      </c>
      <c r="D304">
        <v>74</v>
      </c>
      <c r="E304">
        <v>6</v>
      </c>
      <c r="F304">
        <v>87.83</v>
      </c>
      <c r="G304">
        <v>6</v>
      </c>
      <c r="H304" s="2">
        <f t="shared" si="0"/>
        <v>1</v>
      </c>
      <c r="I304">
        <v>3741.27</v>
      </c>
      <c r="J304">
        <v>1</v>
      </c>
      <c r="K304" s="2">
        <v>9.9700000000000011E-2</v>
      </c>
    </row>
    <row r="305" spans="1:11" x14ac:dyDescent="0.3">
      <c r="A305" t="s">
        <v>29</v>
      </c>
      <c r="B305" t="s">
        <v>41</v>
      </c>
      <c r="C305" s="1">
        <v>45627</v>
      </c>
      <c r="D305">
        <v>26</v>
      </c>
      <c r="E305">
        <v>13</v>
      </c>
      <c r="F305">
        <v>543.15</v>
      </c>
      <c r="G305">
        <v>6</v>
      </c>
      <c r="H305" s="2">
        <f t="shared" si="0"/>
        <v>0.46153846153846156</v>
      </c>
      <c r="I305">
        <v>3793.56</v>
      </c>
      <c r="J305">
        <v>3</v>
      </c>
      <c r="K305" s="2">
        <v>3.56E-2</v>
      </c>
    </row>
    <row r="306" spans="1:11" x14ac:dyDescent="0.3">
      <c r="A306" t="s">
        <v>30</v>
      </c>
      <c r="B306" t="s">
        <v>41</v>
      </c>
      <c r="C306" s="1">
        <v>45627</v>
      </c>
      <c r="D306">
        <v>99</v>
      </c>
      <c r="E306">
        <v>15</v>
      </c>
      <c r="F306">
        <v>181.12</v>
      </c>
      <c r="G306">
        <v>5</v>
      </c>
      <c r="H306" s="2">
        <f t="shared" si="0"/>
        <v>0.33333333333333331</v>
      </c>
      <c r="I306">
        <v>454.09</v>
      </c>
      <c r="J306">
        <v>2</v>
      </c>
      <c r="K306" s="2">
        <v>9.3599999999999989E-2</v>
      </c>
    </row>
    <row r="307" spans="1:11" x14ac:dyDescent="0.3">
      <c r="A307" t="s">
        <v>31</v>
      </c>
      <c r="B307" t="s">
        <v>41</v>
      </c>
      <c r="C307" s="1">
        <v>45627</v>
      </c>
      <c r="D307">
        <v>74</v>
      </c>
      <c r="E307">
        <v>14</v>
      </c>
      <c r="F307">
        <v>508.85</v>
      </c>
      <c r="G307">
        <v>1</v>
      </c>
      <c r="H307" s="2">
        <f t="shared" si="0"/>
        <v>7.1428571428571425E-2</v>
      </c>
      <c r="I307">
        <v>1182.6300000000001</v>
      </c>
      <c r="J307">
        <v>1</v>
      </c>
      <c r="K307" s="2">
        <v>8.9999999999999998E-4</v>
      </c>
    </row>
    <row r="308" spans="1:11" x14ac:dyDescent="0.3">
      <c r="A308" t="s">
        <v>32</v>
      </c>
      <c r="B308" t="s">
        <v>41</v>
      </c>
      <c r="C308" s="1">
        <v>45627</v>
      </c>
      <c r="D308">
        <v>21</v>
      </c>
      <c r="E308">
        <v>17</v>
      </c>
      <c r="F308">
        <v>297.83999999999997</v>
      </c>
      <c r="G308">
        <v>1</v>
      </c>
      <c r="H308" s="2">
        <f t="shared" si="0"/>
        <v>5.8823529411764705E-2</v>
      </c>
      <c r="I308">
        <v>1553.7</v>
      </c>
      <c r="J308">
        <v>1</v>
      </c>
      <c r="K308" s="2">
        <v>5.0700000000000002E-2</v>
      </c>
    </row>
    <row r="309" spans="1:11" x14ac:dyDescent="0.3">
      <c r="A309" t="s">
        <v>33</v>
      </c>
      <c r="B309" t="s">
        <v>41</v>
      </c>
      <c r="C309" s="1">
        <v>45627</v>
      </c>
      <c r="D309">
        <v>94</v>
      </c>
      <c r="E309">
        <v>6</v>
      </c>
      <c r="F309">
        <v>537.26</v>
      </c>
      <c r="G309">
        <v>1</v>
      </c>
      <c r="H309" s="2">
        <f t="shared" si="0"/>
        <v>0.16666666666666666</v>
      </c>
      <c r="I309">
        <v>3665.55</v>
      </c>
      <c r="J309">
        <v>3</v>
      </c>
      <c r="K309" s="2">
        <v>3.0800000000000001E-2</v>
      </c>
    </row>
    <row r="310" spans="1:11" x14ac:dyDescent="0.3">
      <c r="A310" t="s">
        <v>34</v>
      </c>
      <c r="B310" t="s">
        <v>41</v>
      </c>
      <c r="C310" s="1">
        <v>45627</v>
      </c>
      <c r="D310">
        <v>83</v>
      </c>
      <c r="E310">
        <v>9</v>
      </c>
      <c r="F310">
        <v>188.49</v>
      </c>
      <c r="G310">
        <v>7</v>
      </c>
      <c r="H310" s="2">
        <f t="shared" si="0"/>
        <v>0.77777777777777779</v>
      </c>
      <c r="I310">
        <v>545.09</v>
      </c>
      <c r="J310">
        <v>2</v>
      </c>
      <c r="K310" s="2">
        <v>8.5600000000000009E-2</v>
      </c>
    </row>
    <row r="311" spans="1:11" x14ac:dyDescent="0.3">
      <c r="A311" t="s">
        <v>35</v>
      </c>
      <c r="B311" t="s">
        <v>41</v>
      </c>
      <c r="C311" s="1">
        <v>45627</v>
      </c>
      <c r="D311">
        <v>84</v>
      </c>
      <c r="E311">
        <v>14</v>
      </c>
      <c r="F311">
        <v>370.36</v>
      </c>
      <c r="G311">
        <v>0</v>
      </c>
      <c r="H311" s="2">
        <f t="shared" si="0"/>
        <v>0</v>
      </c>
      <c r="I311">
        <v>2605.02</v>
      </c>
      <c r="J311">
        <v>1</v>
      </c>
      <c r="K311" s="2">
        <v>2.5499999999999998E-2</v>
      </c>
    </row>
    <row r="312" spans="1:11" x14ac:dyDescent="0.3">
      <c r="A312" t="s">
        <v>37</v>
      </c>
      <c r="B312" t="s">
        <v>41</v>
      </c>
      <c r="C312" s="1">
        <v>45627</v>
      </c>
      <c r="D312">
        <v>32</v>
      </c>
      <c r="E312">
        <v>10</v>
      </c>
      <c r="F312">
        <v>500.83</v>
      </c>
      <c r="G312">
        <v>4</v>
      </c>
      <c r="H312" s="2">
        <f t="shared" si="0"/>
        <v>0.4</v>
      </c>
      <c r="I312">
        <v>239.13</v>
      </c>
      <c r="J312">
        <v>3</v>
      </c>
      <c r="K312" s="2">
        <v>6.1900000000000004E-2</v>
      </c>
    </row>
    <row r="313" spans="1:11" x14ac:dyDescent="0.3">
      <c r="A313" t="s">
        <v>38</v>
      </c>
      <c r="B313" t="s">
        <v>41</v>
      </c>
      <c r="C313" s="1">
        <v>45627</v>
      </c>
      <c r="D313">
        <v>39</v>
      </c>
      <c r="E313">
        <v>15</v>
      </c>
      <c r="F313">
        <v>319.08999999999997</v>
      </c>
      <c r="G313">
        <v>7</v>
      </c>
      <c r="H313" s="2">
        <f t="shared" si="0"/>
        <v>0.46666666666666667</v>
      </c>
      <c r="I313">
        <v>4573.5</v>
      </c>
      <c r="J313">
        <v>2</v>
      </c>
      <c r="K313" s="2">
        <v>8.0399999999999985E-2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46FA8-BB16-407E-A4C6-70FB9601CAE7}">
  <dimension ref="A1:A6"/>
  <sheetViews>
    <sheetView workbookViewId="0"/>
  </sheetViews>
  <sheetFormatPr defaultRowHeight="14.4" x14ac:dyDescent="0.3"/>
  <sheetData>
    <row r="1" spans="1:1" x14ac:dyDescent="0.3">
      <c r="A1" t="s">
        <v>50</v>
      </c>
    </row>
    <row r="3" spans="1:1" x14ac:dyDescent="0.3">
      <c r="A3" t="s">
        <v>51</v>
      </c>
    </row>
    <row r="4" spans="1:1" x14ac:dyDescent="0.3">
      <c r="A4" t="s">
        <v>52</v>
      </c>
    </row>
    <row r="5" spans="1:1" x14ac:dyDescent="0.3">
      <c r="A5" t="s">
        <v>53</v>
      </c>
    </row>
    <row r="6" spans="1:1" x14ac:dyDescent="0.3">
      <c r="A6" t="s">
        <v>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854B0-45A1-46B2-BC0F-4C80EF6C8565}">
  <dimension ref="A1:I58"/>
  <sheetViews>
    <sheetView tabSelected="1" zoomScale="46" zoomScaleNormal="46" workbookViewId="0">
      <selection activeCell="AC32" sqref="AC32"/>
    </sheetView>
  </sheetViews>
  <sheetFormatPr defaultRowHeight="14.4" x14ac:dyDescent="0.3"/>
  <cols>
    <col min="1" max="4" width="8.88671875" style="5"/>
    <col min="5" max="5" width="10.77734375" style="5" bestFit="1" customWidth="1"/>
    <col min="6" max="6" width="9.88671875" style="5" customWidth="1"/>
    <col min="7" max="7" width="12.88671875" style="5" bestFit="1" customWidth="1"/>
    <col min="8" max="8" width="11.88671875" style="5" bestFit="1" customWidth="1"/>
    <col min="9" max="9" width="13.21875" style="5" bestFit="1" customWidth="1"/>
    <col min="10" max="16384" width="8.88671875" style="5"/>
  </cols>
  <sheetData>
    <row r="1" spans="1:9" s="7" customFormat="1" x14ac:dyDescent="0.3"/>
    <row r="2" spans="1:9" s="7" customFormat="1" x14ac:dyDescent="0.3"/>
    <row r="3" spans="1:9" s="7" customFormat="1" ht="32.4" x14ac:dyDescent="0.7">
      <c r="A3" s="8" t="s">
        <v>68</v>
      </c>
      <c r="B3" s="8"/>
    </row>
    <row r="4" spans="1:9" s="7" customFormat="1" x14ac:dyDescent="0.3">
      <c r="A4" s="9" t="s">
        <v>69</v>
      </c>
      <c r="B4" s="9"/>
    </row>
    <row r="5" spans="1:9" s="7" customFormat="1" x14ac:dyDescent="0.3"/>
    <row r="6" spans="1:9" s="7" customFormat="1" x14ac:dyDescent="0.3"/>
    <row r="7" spans="1:9" s="7" customFormat="1" x14ac:dyDescent="0.3"/>
    <row r="8" spans="1:9" s="7" customFormat="1" x14ac:dyDescent="0.3"/>
    <row r="9" spans="1:9" s="7" customFormat="1" x14ac:dyDescent="0.3"/>
    <row r="10" spans="1:9" x14ac:dyDescent="0.3">
      <c r="E10" s="10" t="s">
        <v>0</v>
      </c>
      <c r="F10" s="10" t="s">
        <v>46</v>
      </c>
      <c r="G10" s="10" t="s">
        <v>47</v>
      </c>
      <c r="H10" s="10" t="s">
        <v>48</v>
      </c>
      <c r="I10" s="10" t="s">
        <v>49</v>
      </c>
    </row>
    <row r="11" spans="1:9" x14ac:dyDescent="0.3">
      <c r="E11" t="s">
        <v>27</v>
      </c>
      <c r="F11">
        <v>1119</v>
      </c>
      <c r="G11">
        <v>61</v>
      </c>
      <c r="H11">
        <v>40</v>
      </c>
      <c r="I11">
        <v>14672.969999999998</v>
      </c>
    </row>
    <row r="12" spans="1:9" x14ac:dyDescent="0.3">
      <c r="E12" t="s">
        <v>13</v>
      </c>
      <c r="F12">
        <v>907</v>
      </c>
      <c r="G12">
        <v>141</v>
      </c>
      <c r="H12">
        <v>53</v>
      </c>
      <c r="I12">
        <v>45196.26</v>
      </c>
    </row>
    <row r="13" spans="1:9" x14ac:dyDescent="0.3">
      <c r="E13" t="s">
        <v>17</v>
      </c>
      <c r="F13">
        <v>731</v>
      </c>
      <c r="G13">
        <v>79</v>
      </c>
      <c r="H13">
        <v>31</v>
      </c>
      <c r="I13">
        <v>43859.520000000004</v>
      </c>
    </row>
    <row r="14" spans="1:9" x14ac:dyDescent="0.3">
      <c r="E14" t="s">
        <v>19</v>
      </c>
      <c r="F14">
        <v>660</v>
      </c>
      <c r="G14">
        <v>92</v>
      </c>
      <c r="H14">
        <v>71</v>
      </c>
      <c r="I14">
        <v>49072.98</v>
      </c>
    </row>
    <row r="15" spans="1:9" x14ac:dyDescent="0.3">
      <c r="E15" t="s">
        <v>21</v>
      </c>
      <c r="F15">
        <v>806</v>
      </c>
      <c r="G15">
        <v>184</v>
      </c>
      <c r="H15">
        <v>100</v>
      </c>
      <c r="I15">
        <v>12040.489999999998</v>
      </c>
    </row>
    <row r="16" spans="1:9" x14ac:dyDescent="0.3">
      <c r="E16" t="s">
        <v>35</v>
      </c>
      <c r="F16">
        <v>1180</v>
      </c>
      <c r="G16">
        <v>173</v>
      </c>
      <c r="H16">
        <v>4</v>
      </c>
      <c r="I16">
        <v>34781.939999999995</v>
      </c>
    </row>
    <row r="17" spans="5:9" x14ac:dyDescent="0.3">
      <c r="E17" t="s">
        <v>29</v>
      </c>
      <c r="F17">
        <v>288</v>
      </c>
      <c r="G17">
        <v>180</v>
      </c>
      <c r="H17">
        <v>81</v>
      </c>
      <c r="I17">
        <v>44979.729999999996</v>
      </c>
    </row>
    <row r="18" spans="5:9" x14ac:dyDescent="0.3">
      <c r="E18" t="s">
        <v>37</v>
      </c>
      <c r="F18">
        <v>407</v>
      </c>
      <c r="G18">
        <v>130</v>
      </c>
      <c r="H18">
        <v>52</v>
      </c>
      <c r="I18">
        <v>2829.58</v>
      </c>
    </row>
    <row r="19" spans="5:9" x14ac:dyDescent="0.3">
      <c r="E19" t="s">
        <v>14</v>
      </c>
      <c r="F19">
        <v>617</v>
      </c>
      <c r="G19">
        <v>177</v>
      </c>
      <c r="H19">
        <v>28</v>
      </c>
      <c r="I19">
        <v>42137.53</v>
      </c>
    </row>
    <row r="20" spans="5:9" x14ac:dyDescent="0.3">
      <c r="E20" t="s">
        <v>33</v>
      </c>
      <c r="F20">
        <v>1151</v>
      </c>
      <c r="G20">
        <v>69</v>
      </c>
      <c r="H20">
        <v>18</v>
      </c>
      <c r="I20">
        <v>41544.150000000009</v>
      </c>
    </row>
    <row r="21" spans="5:9" x14ac:dyDescent="0.3">
      <c r="E21" t="s">
        <v>11</v>
      </c>
      <c r="F21">
        <v>783</v>
      </c>
      <c r="G21">
        <v>181</v>
      </c>
      <c r="H21">
        <v>77</v>
      </c>
      <c r="I21">
        <v>49041</v>
      </c>
    </row>
    <row r="22" spans="5:9" x14ac:dyDescent="0.3">
      <c r="E22" t="s">
        <v>32</v>
      </c>
      <c r="F22">
        <v>246</v>
      </c>
      <c r="G22">
        <v>172</v>
      </c>
      <c r="H22">
        <v>17</v>
      </c>
      <c r="I22">
        <v>18659.18</v>
      </c>
    </row>
    <row r="23" spans="5:9" x14ac:dyDescent="0.3">
      <c r="E23" t="s">
        <v>25</v>
      </c>
      <c r="F23">
        <v>379</v>
      </c>
      <c r="G23">
        <v>87</v>
      </c>
      <c r="H23">
        <v>18</v>
      </c>
      <c r="I23">
        <v>45591.429999999993</v>
      </c>
    </row>
    <row r="24" spans="5:9" x14ac:dyDescent="0.3">
      <c r="E24" t="s">
        <v>15</v>
      </c>
      <c r="F24">
        <v>241</v>
      </c>
      <c r="G24">
        <v>80</v>
      </c>
      <c r="H24">
        <v>40</v>
      </c>
      <c r="I24">
        <v>18368.47</v>
      </c>
    </row>
    <row r="25" spans="5:9" x14ac:dyDescent="0.3">
      <c r="E25" t="s">
        <v>22</v>
      </c>
      <c r="F25">
        <v>226</v>
      </c>
      <c r="G25">
        <v>91</v>
      </c>
      <c r="H25">
        <v>73</v>
      </c>
      <c r="I25">
        <v>9402.9399999999987</v>
      </c>
    </row>
    <row r="26" spans="5:9" x14ac:dyDescent="0.3">
      <c r="E26" t="s">
        <v>34</v>
      </c>
      <c r="F26">
        <v>848</v>
      </c>
      <c r="G26">
        <v>99</v>
      </c>
      <c r="H26">
        <v>84</v>
      </c>
      <c r="I26">
        <v>6133.4100000000008</v>
      </c>
    </row>
    <row r="27" spans="5:9" x14ac:dyDescent="0.3">
      <c r="E27" t="s">
        <v>28</v>
      </c>
      <c r="F27">
        <v>1023</v>
      </c>
      <c r="G27">
        <v>76</v>
      </c>
      <c r="H27">
        <v>64</v>
      </c>
      <c r="I27">
        <v>45365.2</v>
      </c>
    </row>
    <row r="28" spans="5:9" x14ac:dyDescent="0.3">
      <c r="E28" t="s">
        <v>16</v>
      </c>
      <c r="F28">
        <v>977</v>
      </c>
      <c r="G28">
        <v>166</v>
      </c>
      <c r="H28">
        <v>55</v>
      </c>
      <c r="I28">
        <v>12143.710000000001</v>
      </c>
    </row>
    <row r="29" spans="5:9" x14ac:dyDescent="0.3">
      <c r="E29" t="s">
        <v>26</v>
      </c>
      <c r="F29">
        <v>747</v>
      </c>
      <c r="G29">
        <v>97</v>
      </c>
      <c r="H29">
        <v>31</v>
      </c>
      <c r="I29">
        <v>7844.18</v>
      </c>
    </row>
    <row r="30" spans="5:9" x14ac:dyDescent="0.3">
      <c r="E30" t="s">
        <v>38</v>
      </c>
      <c r="F30">
        <v>453</v>
      </c>
      <c r="G30">
        <v>184</v>
      </c>
      <c r="H30">
        <v>92</v>
      </c>
      <c r="I30">
        <v>50524.4</v>
      </c>
    </row>
    <row r="31" spans="5:9" x14ac:dyDescent="0.3">
      <c r="E31" t="s">
        <v>20</v>
      </c>
      <c r="F31">
        <v>367</v>
      </c>
      <c r="G31">
        <v>217</v>
      </c>
      <c r="H31">
        <v>103</v>
      </c>
      <c r="I31">
        <v>14209.390000000001</v>
      </c>
    </row>
    <row r="32" spans="5:9" x14ac:dyDescent="0.3">
      <c r="E32" t="s">
        <v>24</v>
      </c>
      <c r="F32">
        <v>882</v>
      </c>
      <c r="G32">
        <v>225</v>
      </c>
      <c r="H32">
        <v>30</v>
      </c>
      <c r="I32">
        <v>4278.2</v>
      </c>
    </row>
    <row r="33" spans="5:9" x14ac:dyDescent="0.3">
      <c r="E33" t="s">
        <v>23</v>
      </c>
      <c r="F33">
        <v>420</v>
      </c>
      <c r="G33">
        <v>74</v>
      </c>
      <c r="H33">
        <v>59</v>
      </c>
      <c r="I33">
        <v>44146.13</v>
      </c>
    </row>
    <row r="34" spans="5:9" x14ac:dyDescent="0.3">
      <c r="E34" t="s">
        <v>18</v>
      </c>
      <c r="F34">
        <v>924</v>
      </c>
      <c r="G34">
        <v>218</v>
      </c>
      <c r="H34">
        <v>30</v>
      </c>
      <c r="I34">
        <v>29842.950000000004</v>
      </c>
    </row>
    <row r="35" spans="5:9" x14ac:dyDescent="0.3">
      <c r="E35" t="s">
        <v>31</v>
      </c>
      <c r="F35">
        <v>831</v>
      </c>
      <c r="G35">
        <v>154</v>
      </c>
      <c r="H35">
        <v>4</v>
      </c>
      <c r="I35">
        <v>14526.439999999999</v>
      </c>
    </row>
    <row r="36" spans="5:9" x14ac:dyDescent="0.3">
      <c r="E36" t="s">
        <v>30</v>
      </c>
      <c r="F36">
        <v>1087</v>
      </c>
      <c r="G36">
        <v>212</v>
      </c>
      <c r="H36">
        <v>54</v>
      </c>
      <c r="I36">
        <v>5002.7100000000009</v>
      </c>
    </row>
    <row r="37" spans="5:9" x14ac:dyDescent="0.3">
      <c r="E37" s="11" t="s">
        <v>43</v>
      </c>
      <c r="F37" s="11">
        <v>18300</v>
      </c>
      <c r="G37" s="11">
        <v>3619</v>
      </c>
      <c r="H37" s="11">
        <v>1309</v>
      </c>
      <c r="I37" s="11">
        <v>706194.8899999999</v>
      </c>
    </row>
    <row r="38" spans="5:9" ht="3.6" customHeight="1" x14ac:dyDescent="0.3"/>
    <row r="39" spans="5:9" hidden="1" x14ac:dyDescent="0.3"/>
    <row r="40" spans="5:9" hidden="1" x14ac:dyDescent="0.3"/>
    <row r="41" spans="5:9" hidden="1" x14ac:dyDescent="0.3"/>
    <row r="42" spans="5:9" hidden="1" x14ac:dyDescent="0.3"/>
    <row r="43" spans="5:9" hidden="1" x14ac:dyDescent="0.3"/>
    <row r="44" spans="5:9" hidden="1" x14ac:dyDescent="0.3"/>
    <row r="45" spans="5:9" hidden="1" x14ac:dyDescent="0.3"/>
    <row r="46" spans="5:9" hidden="1" x14ac:dyDescent="0.3"/>
    <row r="47" spans="5:9" hidden="1" x14ac:dyDescent="0.3"/>
    <row r="48" spans="5:9" hidden="1" x14ac:dyDescent="0.3"/>
    <row r="49" hidden="1" x14ac:dyDescent="0.3"/>
    <row r="50" hidden="1" x14ac:dyDescent="0.3"/>
    <row r="51" hidden="1" x14ac:dyDescent="0.3"/>
    <row r="52" hidden="1" x14ac:dyDescent="0.3"/>
    <row r="53" hidden="1" x14ac:dyDescent="0.3"/>
    <row r="54" hidden="1" x14ac:dyDescent="0.3"/>
    <row r="55" hidden="1" x14ac:dyDescent="0.3"/>
    <row r="56" hidden="1" x14ac:dyDescent="0.3"/>
    <row r="57" hidden="1" x14ac:dyDescent="0.3"/>
    <row r="58" hidden="1" x14ac:dyDescent="0.3"/>
  </sheetData>
  <conditionalFormatting pivot="1" sqref="F11:F36">
    <cfRule type="dataBar" priority="4">
      <dataBar>
        <cfvo type="min"/>
        <cfvo type="max"/>
        <color rgb="FF638EC6"/>
      </dataBar>
      <extLst>
        <ext xmlns:x14="http://schemas.microsoft.com/office/spreadsheetml/2009/9/main" uri="{B025F937-C7B1-47D3-B67F-A62EFF666E3E}">
          <x14:id>{2D4AF1CD-C7BB-4C38-A544-B4B0E3B76BAA}</x14:id>
        </ext>
      </extLst>
    </cfRule>
  </conditionalFormatting>
  <conditionalFormatting pivot="1" sqref="G11:G36">
    <cfRule type="dataBar" priority="3">
      <dataBar>
        <cfvo type="min"/>
        <cfvo type="max"/>
        <color rgb="FF63C384"/>
      </dataBar>
      <extLst>
        <ext xmlns:x14="http://schemas.microsoft.com/office/spreadsheetml/2009/9/main" uri="{B025F937-C7B1-47D3-B67F-A62EFF666E3E}">
          <x14:id>{00B08398-6B17-4E7F-9B92-30A8C9AC9ACA}</x14:id>
        </ext>
      </extLst>
    </cfRule>
  </conditionalFormatting>
  <conditionalFormatting pivot="1" sqref="H11:H36">
    <cfRule type="dataBar" priority="2">
      <dataBar>
        <cfvo type="min"/>
        <cfvo type="max"/>
        <color rgb="FFFF555A"/>
      </dataBar>
      <extLst>
        <ext xmlns:x14="http://schemas.microsoft.com/office/spreadsheetml/2009/9/main" uri="{B025F937-C7B1-47D3-B67F-A62EFF666E3E}">
          <x14:id>{7754FCC3-7202-45DE-A3DE-EFB248012F2C}</x14:id>
        </ext>
      </extLst>
    </cfRule>
  </conditionalFormatting>
  <conditionalFormatting pivot="1" sqref="I11:I36">
    <cfRule type="dataBar" priority="1">
      <dataBar>
        <cfvo type="min"/>
        <cfvo type="max"/>
        <color rgb="FFD6007B"/>
      </dataBar>
      <extLst>
        <ext xmlns:x14="http://schemas.microsoft.com/office/spreadsheetml/2009/9/main" uri="{B025F937-C7B1-47D3-B67F-A62EFF666E3E}">
          <x14:id>{B065569F-6E83-4862-9F5F-E34B4E068C28}</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2D4AF1CD-C7BB-4C38-A544-B4B0E3B76BAA}">
            <x14:dataBar minLength="0" maxLength="100">
              <x14:cfvo type="autoMin"/>
              <x14:cfvo type="autoMax"/>
              <x14:negativeFillColor rgb="FFFF0000"/>
              <x14:axisColor rgb="FF000000"/>
            </x14:dataBar>
          </x14:cfRule>
          <xm:sqref>F11:F36</xm:sqref>
        </x14:conditionalFormatting>
        <x14:conditionalFormatting xmlns:xm="http://schemas.microsoft.com/office/excel/2006/main" pivot="1">
          <x14:cfRule type="dataBar" id="{00B08398-6B17-4E7F-9B92-30A8C9AC9ACA}">
            <x14:dataBar minLength="0" maxLength="100">
              <x14:cfvo type="autoMin"/>
              <x14:cfvo type="autoMax"/>
              <x14:negativeFillColor rgb="FFFF0000"/>
              <x14:axisColor rgb="FF000000"/>
            </x14:dataBar>
          </x14:cfRule>
          <xm:sqref>G11:G36</xm:sqref>
        </x14:conditionalFormatting>
        <x14:conditionalFormatting xmlns:xm="http://schemas.microsoft.com/office/excel/2006/main" pivot="1">
          <x14:cfRule type="dataBar" id="{7754FCC3-7202-45DE-A3DE-EFB248012F2C}">
            <x14:dataBar minLength="0" maxLength="100">
              <x14:cfvo type="autoMin"/>
              <x14:cfvo type="autoMax"/>
              <x14:negativeFillColor rgb="FFFF0000"/>
              <x14:axisColor rgb="FF000000"/>
            </x14:dataBar>
          </x14:cfRule>
          <xm:sqref>H11:H36</xm:sqref>
        </x14:conditionalFormatting>
        <x14:conditionalFormatting xmlns:xm="http://schemas.microsoft.com/office/excel/2006/main" pivot="1">
          <x14:cfRule type="dataBar" id="{B065569F-6E83-4862-9F5F-E34B4E068C28}">
            <x14:dataBar minLength="0" maxLength="100">
              <x14:cfvo type="autoMin"/>
              <x14:cfvo type="autoMax"/>
              <x14:negativeFillColor rgb="FFFF0000"/>
              <x14:axisColor rgb="FF000000"/>
            </x14:dataBar>
          </x14:cfRule>
          <xm:sqref>I11:I36</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Sales data</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SIFAT MAHJABIN</dc:creator>
  <cp:lastModifiedBy>SIFAT MAHJABIN</cp:lastModifiedBy>
  <dcterms:created xsi:type="dcterms:W3CDTF">2026-01-29T10:36:49Z</dcterms:created>
  <dcterms:modified xsi:type="dcterms:W3CDTF">2026-02-02T08:08:40Z</dcterms:modified>
</cp:coreProperties>
</file>